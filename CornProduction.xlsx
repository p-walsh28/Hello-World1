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1.xml" ContentType="application/vnd.openxmlformats-officedocument.drawingml.chart+xml"/>
  <Override PartName="/xl/charts/style5.xml" ContentType="application/vnd.ms-office.chartstyle+xml"/>
  <Override PartName="/xl/charts/colors5.xml" ContentType="application/vnd.ms-office.chartcolorstyle+xml"/>
  <Override PartName="/xl/charts/chart2.xml" ContentType="application/vnd.openxmlformats-officedocument.drawingml.chart+xml"/>
  <Override PartName="/xl/charts/style6.xml" ContentType="application/vnd.ms-office.chartstyle+xml"/>
  <Override PartName="/xl/charts/colors6.xml" ContentType="application/vnd.ms-office.chartcolorstyle+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Ex5.xml" ContentType="application/vnd.ms-office.chartex+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0.xml" ContentType="application/vnd.ms-office.chartstyle+xml"/>
  <Override PartName="/xl/charts/colors10.xml" ContentType="application/vnd.ms-office.chartcolorstyle+xml"/>
  <Override PartName="/xl/charts/chart6.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patri\Downloads\"/>
    </mc:Choice>
  </mc:AlternateContent>
  <xr:revisionPtr revIDLastSave="0" documentId="8_{88BE678B-1666-4A76-87C0-4DB735F8C48F}" xr6:coauthVersionLast="47" xr6:coauthVersionMax="47" xr10:uidLastSave="{00000000-0000-0000-0000-000000000000}"/>
  <bookViews>
    <workbookView xWindow="-110" yWindow="-110" windowWidth="19420" windowHeight="11500" firstSheet="4" activeTab="5" xr2:uid="{E5F13D58-9EC1-8945-8EF2-4811BB4B5881}"/>
  </bookViews>
  <sheets>
    <sheet name="Data Dictionary" sheetId="4" r:id="rId1"/>
    <sheet name="VIF (Variance Inflation Factor)" sheetId="13" r:id="rId2"/>
    <sheet name="Raw Data" sheetId="1" r:id="rId3"/>
    <sheet name="Edited Data" sheetId="8" r:id="rId4"/>
    <sheet name="Descriptive Analysis" sheetId="7" r:id="rId5"/>
    <sheet name="Hypothesis Test (ANOVA)" sheetId="9" r:id="rId6"/>
    <sheet name="Correlation" sheetId="10" r:id="rId7"/>
    <sheet name="Dummy Variables" sheetId="11" r:id="rId8"/>
    <sheet name="regression" sheetId="12" r:id="rId9"/>
  </sheets>
  <definedNames>
    <definedName name="_xlnm._FilterDatabase" localSheetId="2" hidden="1">'Raw Data'!$A$1:$G$423</definedName>
    <definedName name="_xlchart.v1.0" hidden="1">'Edited Data'!$E$2:$E$301</definedName>
    <definedName name="_xlchart.v1.1" hidden="1">'Edited Data'!$C$1</definedName>
    <definedName name="_xlchart.v1.2" hidden="1">'Edited Data'!$C$2:$C$301</definedName>
    <definedName name="_xlchart.v1.3" hidden="1">'Edited Data'!$C$1</definedName>
    <definedName name="_xlchart.v1.4" hidden="1">'Edited Data'!$C$2:$C$301</definedName>
    <definedName name="_xlchart.v1.5" hidden="1">'Edited Data'!$F$1</definedName>
    <definedName name="_xlchart.v1.6" hidden="1">'Edited Data'!$F$2:$F$301</definedName>
    <definedName name="_xlchart.v1.7" hidden="1">'Edited Data'!$G$1</definedName>
    <definedName name="_xlchart.v1.8" hidden="1">'Edited Data'!$G$2:$G$301</definedName>
  </definedNames>
  <calcPr calcId="191028"/>
  <pivotCaches>
    <pivotCache cacheId="0" r:id="rId10"/>
    <pivotCache cacheId="1" r:id="rId11"/>
    <pivotCache cacheId="2" r:id="rId12"/>
    <pivotCache cacheId="3"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1" l="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2"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2" i="11"/>
  <c r="E4" i="13"/>
  <c r="F122" i="1"/>
  <c r="F214" i="1"/>
  <c r="F170" i="1"/>
  <c r="F28" i="1"/>
  <c r="F74" i="1"/>
  <c r="F87" i="1"/>
  <c r="F10" i="1"/>
  <c r="F190" i="1"/>
  <c r="F130" i="1"/>
  <c r="F4" i="1"/>
  <c r="F134" i="1"/>
  <c r="F207" i="1"/>
  <c r="F178" i="1"/>
  <c r="F278" i="1"/>
  <c r="F260" i="1"/>
  <c r="F312" i="1"/>
  <c r="F415" i="1"/>
  <c r="F414" i="1"/>
  <c r="F13" i="1"/>
  <c r="F272" i="1"/>
  <c r="F124" i="1"/>
  <c r="F307" i="1"/>
  <c r="F289" i="1"/>
  <c r="F396" i="1"/>
  <c r="F30" i="1"/>
  <c r="F249" i="1"/>
  <c r="F113" i="1"/>
  <c r="F290" i="1"/>
  <c r="F329" i="1"/>
  <c r="F145" i="1"/>
  <c r="F182" i="1"/>
  <c r="F120" i="1"/>
  <c r="F16" i="1"/>
  <c r="F391" i="1"/>
  <c r="F349" i="1"/>
  <c r="F369" i="1"/>
  <c r="F49" i="1"/>
  <c r="F107" i="1"/>
  <c r="F358" i="1"/>
  <c r="F144" i="1"/>
  <c r="F22" i="1"/>
  <c r="F418" i="1"/>
  <c r="F53" i="1"/>
  <c r="F166" i="1"/>
  <c r="F238" i="1"/>
  <c r="F266" i="1"/>
  <c r="F126" i="1"/>
  <c r="F293" i="1"/>
  <c r="F270" i="1"/>
  <c r="F174" i="1"/>
  <c r="F211" i="1"/>
  <c r="F313" i="1"/>
  <c r="F173" i="1"/>
  <c r="F377" i="1"/>
  <c r="F296" i="1"/>
  <c r="F142" i="1"/>
  <c r="F224" i="1"/>
  <c r="F311" i="1"/>
  <c r="F360" i="1"/>
  <c r="F259" i="1"/>
  <c r="F84" i="1"/>
  <c r="F62" i="1"/>
  <c r="F191" i="1"/>
  <c r="F189" i="1"/>
  <c r="F161" i="1"/>
  <c r="F306" i="1"/>
  <c r="F267" i="1"/>
  <c r="F335" i="1"/>
  <c r="F277" i="1"/>
  <c r="F251" i="1"/>
  <c r="F99" i="1"/>
  <c r="F245" i="1"/>
  <c r="F202" i="1"/>
  <c r="F363" i="1"/>
  <c r="F328" i="1"/>
  <c r="F206" i="1"/>
  <c r="F103" i="1"/>
  <c r="F246" i="1"/>
  <c r="F15" i="1"/>
  <c r="F38" i="1"/>
  <c r="F416" i="1"/>
  <c r="F344" i="1"/>
  <c r="F32" i="1"/>
  <c r="F51" i="1"/>
  <c r="F197" i="1"/>
  <c r="F75" i="1"/>
  <c r="F284" i="1"/>
  <c r="F230" i="1"/>
  <c r="F408" i="1"/>
  <c r="F352" i="1"/>
  <c r="F188" i="1"/>
  <c r="F40" i="1"/>
  <c r="F287" i="1"/>
  <c r="F350" i="1"/>
  <c r="F137" i="1"/>
  <c r="F181" i="1"/>
  <c r="F132" i="1"/>
  <c r="F316" i="1"/>
  <c r="F376" i="1"/>
  <c r="F37" i="1"/>
  <c r="F179" i="1"/>
  <c r="F176" i="1"/>
  <c r="F264" i="1"/>
  <c r="F423" i="1"/>
  <c r="F187" i="1"/>
  <c r="F222" i="1"/>
  <c r="F359" i="1"/>
  <c r="F301" i="1"/>
  <c r="F370" i="1"/>
  <c r="F185" i="1"/>
  <c r="F247" i="1"/>
  <c r="F232" i="1"/>
  <c r="F6" i="1"/>
  <c r="F320" i="1"/>
  <c r="F91" i="1"/>
  <c r="F318" i="1"/>
  <c r="F73" i="1"/>
  <c r="F217" i="1"/>
  <c r="F52" i="1"/>
  <c r="F365" i="1"/>
  <c r="F71" i="1"/>
  <c r="F152" i="1"/>
  <c r="F83" i="1"/>
  <c r="F8" i="1"/>
  <c r="F39" i="1"/>
  <c r="F299" i="1"/>
  <c r="F258" i="1"/>
  <c r="F221" i="1"/>
  <c r="F234" i="1"/>
  <c r="F97" i="1"/>
  <c r="F400" i="1"/>
  <c r="F66" i="1"/>
  <c r="F140" i="1"/>
  <c r="F199" i="1"/>
  <c r="F379" i="1"/>
  <c r="F375" i="1"/>
  <c r="F355" i="1"/>
  <c r="F141" i="1"/>
  <c r="F101" i="1"/>
  <c r="F159" i="1"/>
  <c r="F317" i="1"/>
  <c r="F285" i="1"/>
  <c r="F409" i="1"/>
  <c r="F23" i="1"/>
  <c r="F35" i="1"/>
  <c r="F413" i="1"/>
  <c r="F253" i="1"/>
  <c r="F149" i="1"/>
  <c r="F274" i="1"/>
  <c r="F78" i="1"/>
  <c r="F326" i="1"/>
  <c r="F279" i="1"/>
  <c r="F111" i="1"/>
  <c r="F17" i="1"/>
  <c r="F412" i="1"/>
  <c r="F364" i="1"/>
  <c r="F319" i="1"/>
  <c r="F354" i="1"/>
  <c r="F300" i="1"/>
  <c r="F58" i="1"/>
  <c r="F219" i="1"/>
  <c r="F55" i="1"/>
  <c r="F241" i="1"/>
  <c r="F351" i="1"/>
  <c r="F92" i="1"/>
  <c r="F256" i="1"/>
  <c r="F308" i="1"/>
  <c r="F110" i="1"/>
  <c r="F77" i="1"/>
  <c r="F175" i="1"/>
  <c r="F94" i="1"/>
  <c r="F371" i="1"/>
  <c r="F343" i="1"/>
  <c r="F334" i="1"/>
  <c r="F322" i="1"/>
  <c r="F158" i="1"/>
  <c r="F168" i="1"/>
  <c r="F201" i="1"/>
  <c r="F63" i="1"/>
  <c r="F398" i="1"/>
  <c r="F236" i="1"/>
  <c r="F24" i="1"/>
  <c r="F70" i="1"/>
  <c r="F384" i="1"/>
  <c r="F281" i="1"/>
  <c r="F294" i="1"/>
  <c r="F67" i="1"/>
  <c r="F46" i="1"/>
  <c r="F295" i="1"/>
  <c r="F162" i="1"/>
  <c r="F29" i="1"/>
  <c r="F392" i="1"/>
  <c r="F85" i="1"/>
  <c r="F341" i="1"/>
  <c r="F347" i="1"/>
  <c r="F205" i="1"/>
  <c r="F129" i="1"/>
  <c r="F242" i="1"/>
  <c r="F248" i="1"/>
  <c r="F56" i="1"/>
  <c r="F127" i="1"/>
  <c r="F82" i="1"/>
  <c r="F362" i="1"/>
  <c r="F239" i="1"/>
  <c r="F194" i="1"/>
  <c r="F411" i="1"/>
  <c r="F327" i="1"/>
  <c r="F112" i="1"/>
  <c r="F244" i="1"/>
  <c r="F286" i="1"/>
  <c r="F348" i="1"/>
  <c r="F148" i="1"/>
  <c r="F336" i="1"/>
  <c r="F19" i="1"/>
  <c r="F118" i="1"/>
  <c r="F255" i="1"/>
  <c r="F257" i="1"/>
  <c r="F48" i="1"/>
  <c r="F405" i="1"/>
  <c r="F128" i="1"/>
  <c r="F89" i="1"/>
  <c r="F33" i="1"/>
  <c r="F381" i="1"/>
  <c r="F215" i="1"/>
  <c r="F406" i="1"/>
  <c r="F42" i="1"/>
  <c r="F200" i="1"/>
  <c r="F235" i="1"/>
  <c r="F216" i="1"/>
  <c r="F388" i="1"/>
  <c r="F263" i="1"/>
  <c r="F417" i="1"/>
  <c r="F25" i="1"/>
  <c r="F342" i="1"/>
  <c r="F395" i="1"/>
  <c r="F76" i="1"/>
  <c r="F150" i="1"/>
  <c r="F386" i="1"/>
  <c r="F309" i="1"/>
  <c r="F374" i="1"/>
  <c r="F31" i="1"/>
  <c r="F34" i="1"/>
  <c r="F229" i="1"/>
  <c r="F338" i="1"/>
  <c r="F254" i="1"/>
  <c r="F212" i="1"/>
  <c r="F172" i="1"/>
  <c r="F393" i="1"/>
  <c r="F60" i="1"/>
  <c r="F68" i="1"/>
  <c r="F218" i="1"/>
  <c r="F80" i="1"/>
  <c r="F36" i="1"/>
  <c r="F280" i="1"/>
  <c r="F390" i="1"/>
  <c r="F11" i="1"/>
  <c r="F116" i="1"/>
  <c r="F220" i="1"/>
  <c r="F404" i="1"/>
  <c r="F20" i="1"/>
  <c r="F151" i="1"/>
  <c r="F95" i="1"/>
  <c r="F304" i="1"/>
  <c r="F114" i="1"/>
  <c r="F27" i="1"/>
  <c r="F325" i="1"/>
  <c r="F233" i="1"/>
  <c r="F333" i="1"/>
  <c r="F330" i="1"/>
  <c r="F100" i="1"/>
  <c r="F394" i="1"/>
  <c r="F43" i="1"/>
  <c r="F184" i="1"/>
  <c r="F403" i="1"/>
  <c r="F65" i="1"/>
  <c r="F88" i="1"/>
  <c r="F261" i="1"/>
  <c r="F345" i="1"/>
  <c r="F410" i="1"/>
  <c r="F2" i="1"/>
  <c r="F106" i="1"/>
  <c r="F368" i="1"/>
  <c r="F276" i="1"/>
  <c r="F171" i="1"/>
  <c r="F136" i="1"/>
  <c r="F383" i="1"/>
  <c r="F59" i="1"/>
  <c r="F109" i="1"/>
  <c r="F125" i="1"/>
  <c r="F12" i="1"/>
  <c r="F45" i="1"/>
  <c r="F303" i="1"/>
  <c r="F337" i="1"/>
  <c r="F302" i="1"/>
  <c r="F146" i="1"/>
  <c r="F271" i="1"/>
  <c r="F54" i="1"/>
  <c r="F361" i="1"/>
  <c r="F193" i="1"/>
  <c r="F273" i="1"/>
  <c r="F44" i="1"/>
  <c r="F153" i="1"/>
  <c r="F397" i="1"/>
  <c r="F72" i="1"/>
  <c r="F227" i="1"/>
  <c r="F98" i="1"/>
  <c r="F367" i="1"/>
  <c r="F204" i="1"/>
  <c r="F108" i="1"/>
  <c r="F117" i="1"/>
  <c r="F69" i="1"/>
  <c r="F310" i="1"/>
  <c r="F96" i="1"/>
  <c r="F105" i="1"/>
  <c r="F421" i="1"/>
  <c r="F340" i="1"/>
  <c r="F18" i="1"/>
  <c r="F64" i="1"/>
  <c r="F231" i="1"/>
  <c r="F401" i="1"/>
  <c r="F380" i="1"/>
  <c r="F385" i="1"/>
  <c r="F243" i="1"/>
  <c r="F160" i="1"/>
  <c r="F165" i="1"/>
  <c r="F167" i="1"/>
  <c r="F373" i="1"/>
  <c r="F332" i="1"/>
  <c r="F147" i="1"/>
  <c r="F283" i="1"/>
  <c r="F195" i="1"/>
  <c r="F164" i="1"/>
  <c r="F208" i="1"/>
  <c r="F47" i="1"/>
  <c r="F183" i="1"/>
  <c r="F198" i="1"/>
  <c r="F213" i="1"/>
  <c r="F155" i="1"/>
  <c r="F133" i="1"/>
  <c r="F419" i="1"/>
  <c r="F389" i="1"/>
  <c r="F331" i="1"/>
  <c r="F50" i="1"/>
  <c r="F402" i="1"/>
  <c r="F104" i="1"/>
  <c r="F156" i="1"/>
  <c r="F210" i="1"/>
  <c r="F143" i="1"/>
  <c r="F269" i="1"/>
  <c r="F115" i="1"/>
  <c r="F57" i="1"/>
  <c r="F196" i="1"/>
  <c r="F382" i="1"/>
  <c r="F3" i="1"/>
  <c r="F131" i="1"/>
  <c r="F119" i="1"/>
  <c r="F225" i="1"/>
  <c r="F356" i="1"/>
  <c r="F135" i="1"/>
  <c r="F169" i="1"/>
  <c r="F121" i="1"/>
  <c r="F228" i="1"/>
  <c r="F223" i="1"/>
  <c r="F14" i="1"/>
  <c r="F102" i="1"/>
  <c r="F138" i="1"/>
  <c r="F321" i="1"/>
  <c r="F399" i="1"/>
  <c r="F9" i="1"/>
  <c r="F339" i="1"/>
  <c r="F180" i="1"/>
  <c r="F209" i="1"/>
  <c r="F387" i="1"/>
  <c r="F7" i="1"/>
  <c r="F305" i="1"/>
  <c r="F154" i="1"/>
  <c r="F163" i="1"/>
  <c r="F139" i="1"/>
  <c r="F407" i="1"/>
  <c r="F282" i="1"/>
  <c r="F240" i="1"/>
  <c r="F41" i="1"/>
  <c r="F268" i="1"/>
  <c r="F378" i="1"/>
  <c r="F422" i="1"/>
  <c r="F237" i="1"/>
  <c r="F315" i="1"/>
  <c r="F372" i="1"/>
  <c r="F157" i="1"/>
  <c r="F79" i="1"/>
  <c r="F297" i="1"/>
  <c r="F275" i="1"/>
  <c r="F81" i="1"/>
  <c r="F226" i="1"/>
  <c r="F203" i="1"/>
  <c r="F61" i="1"/>
  <c r="F353" i="1"/>
  <c r="F192" i="1"/>
  <c r="F123" i="1"/>
  <c r="F420" i="1"/>
  <c r="F86" i="1"/>
  <c r="F298" i="1"/>
  <c r="F93" i="1"/>
  <c r="F291" i="1"/>
  <c r="F265" i="1"/>
  <c r="F357" i="1"/>
  <c r="F288" i="1"/>
  <c r="F252" i="1"/>
  <c r="F21" i="1"/>
  <c r="F26" i="1"/>
  <c r="F5" i="1"/>
  <c r="F292" i="1"/>
  <c r="F186" i="1"/>
  <c r="F346" i="1"/>
  <c r="F262" i="1"/>
  <c r="F323" i="1"/>
  <c r="F366" i="1"/>
  <c r="F90" i="1"/>
  <c r="F250" i="1"/>
  <c r="F177" i="1"/>
  <c r="F314" i="1"/>
  <c r="F324" i="1"/>
</calcChain>
</file>

<file path=xl/sharedStrings.xml><?xml version="1.0" encoding="utf-8"?>
<sst xmlns="http://schemas.openxmlformats.org/spreadsheetml/2006/main" count="5064" uniqueCount="544">
  <si>
    <t>Corn Production Data</t>
  </si>
  <si>
    <t>Data on corn production by Kenyan farmers in Taita Taveta county from 2022</t>
  </si>
  <si>
    <t>Data is adapted from Kaggle (https://www.kaggle.com/datasets/japondo/corn-farming-data)</t>
  </si>
  <si>
    <t>Column</t>
  </si>
  <si>
    <t>Type</t>
  </si>
  <si>
    <t>Description</t>
  </si>
  <si>
    <t>Farm ID</t>
  </si>
  <si>
    <t>Alphanumeric</t>
  </si>
  <si>
    <t>Unique farm identifier</t>
  </si>
  <si>
    <t>Sex</t>
  </si>
  <si>
    <t>Categorical</t>
  </si>
  <si>
    <t>Farmer sex (Female, Male)</t>
  </si>
  <si>
    <t>Age</t>
  </si>
  <si>
    <t>Numeric</t>
  </si>
  <si>
    <t>Farmer age</t>
  </si>
  <si>
    <t>Education</t>
  </si>
  <si>
    <t>Highest level of eduction attained by farmer (Primary, Secondary, Certificate, Diploma, Degree)</t>
  </si>
  <si>
    <t>Household</t>
  </si>
  <si>
    <t>Number of people in farmer's household</t>
  </si>
  <si>
    <t>Acreage</t>
  </si>
  <si>
    <t>Farm size in acres</t>
  </si>
  <si>
    <t>Fertilizer</t>
  </si>
  <si>
    <t>Amount of fertilizer used in kilograms per acre (kg/acre)</t>
  </si>
  <si>
    <t>Laborers</t>
  </si>
  <si>
    <t>Number of people working on the farm</t>
  </si>
  <si>
    <t>Advisory</t>
  </si>
  <si>
    <t>Where farmer receives agricultural advisory information (Public gatherings, Radio, Television, Internet, Extension services)</t>
  </si>
  <si>
    <t>Farm records</t>
  </si>
  <si>
    <t>Farmer keep corn production records (Yes, No)</t>
  </si>
  <si>
    <t>Yield</t>
  </si>
  <si>
    <t>Corn harvested in kilograms per acre (kg/acre)</t>
  </si>
  <si>
    <t>Rand</t>
  </si>
  <si>
    <t>f281</t>
  </si>
  <si>
    <t>Male</t>
  </si>
  <si>
    <t>Primary</t>
  </si>
  <si>
    <t>Radio</t>
  </si>
  <si>
    <t>No</t>
  </si>
  <si>
    <t>f355</t>
  </si>
  <si>
    <t>Female</t>
  </si>
  <si>
    <t>Public gatherings</t>
  </si>
  <si>
    <t>f011</t>
  </si>
  <si>
    <t>Extension services</t>
  </si>
  <si>
    <t>Yes</t>
  </si>
  <si>
    <t>f412</t>
  </si>
  <si>
    <t>f114</t>
  </si>
  <si>
    <t>Certificate</t>
  </si>
  <si>
    <t>f375</t>
  </si>
  <si>
    <t>f125</t>
  </si>
  <si>
    <t>f370</t>
  </si>
  <si>
    <t>f008</t>
  </si>
  <si>
    <t>Internet</t>
  </si>
  <si>
    <t>f257</t>
  </si>
  <si>
    <t>Secondary</t>
  </si>
  <si>
    <t>f291</t>
  </si>
  <si>
    <t>f020</t>
  </si>
  <si>
    <t>f365</t>
  </si>
  <si>
    <t>f080</t>
  </si>
  <si>
    <t>f034</t>
  </si>
  <si>
    <t>f155</t>
  </si>
  <si>
    <t>f318</t>
  </si>
  <si>
    <t>f215</t>
  </si>
  <si>
    <t>f261</t>
  </si>
  <si>
    <t>f410</t>
  </si>
  <si>
    <t>f042</t>
  </si>
  <si>
    <t>f145</t>
  </si>
  <si>
    <t>f183</t>
  </si>
  <si>
    <t>f234</t>
  </si>
  <si>
    <t>f411</t>
  </si>
  <si>
    <t>f266</t>
  </si>
  <si>
    <t>f005</t>
  </si>
  <si>
    <t>f192</t>
  </si>
  <si>
    <t>f026</t>
  </si>
  <si>
    <t>f242</t>
  </si>
  <si>
    <t>f084</t>
  </si>
  <si>
    <t>f223</t>
  </si>
  <si>
    <t>f243</t>
  </si>
  <si>
    <t>f146</t>
  </si>
  <si>
    <t>Degree</t>
  </si>
  <si>
    <t>f254</t>
  </si>
  <si>
    <t>f101</t>
  </si>
  <si>
    <t>f081</t>
  </si>
  <si>
    <t>f126</t>
  </si>
  <si>
    <t>f093</t>
  </si>
  <si>
    <t>f383</t>
  </si>
  <si>
    <t>f227</t>
  </si>
  <si>
    <t>f273</t>
  </si>
  <si>
    <t>f302</t>
  </si>
  <si>
    <t>f292</t>
  </si>
  <si>
    <t>f189</t>
  </si>
  <si>
    <t>f335</t>
  </si>
  <si>
    <t>f219</t>
  </si>
  <si>
    <t>f038</t>
  </si>
  <si>
    <t>f344</t>
  </si>
  <si>
    <t>f085</t>
  </si>
  <si>
    <t>f120</t>
  </si>
  <si>
    <t>f044</t>
  </si>
  <si>
    <t>f298</t>
  </si>
  <si>
    <t>f163</t>
  </si>
  <si>
    <t>Television</t>
  </si>
  <si>
    <t>f201</t>
  </si>
  <si>
    <t>Diploma</t>
  </si>
  <si>
    <t>f352</t>
  </si>
  <si>
    <t>f161</t>
  </si>
  <si>
    <t>f288</t>
  </si>
  <si>
    <t>f250</t>
  </si>
  <si>
    <t>f397</t>
  </si>
  <si>
    <t>f063</t>
  </si>
  <si>
    <t>f180</t>
  </si>
  <si>
    <t>f319</t>
  </si>
  <si>
    <t>f276</t>
  </si>
  <si>
    <t>f133</t>
  </si>
  <si>
    <t>f188</t>
  </si>
  <si>
    <t>f251</t>
  </si>
  <si>
    <t>f312</t>
  </si>
  <si>
    <t>f184</t>
  </si>
  <si>
    <t>f122</t>
  </si>
  <si>
    <t>f305</t>
  </si>
  <si>
    <t>f118</t>
  </si>
  <si>
    <t>f006</t>
  </si>
  <si>
    <t>f087</t>
  </si>
  <si>
    <t>f237</t>
  </si>
  <si>
    <t>f170</t>
  </si>
  <si>
    <t>f151</t>
  </si>
  <si>
    <t>f391</t>
  </si>
  <si>
    <t>f253</t>
  </si>
  <si>
    <t>f394</t>
  </si>
  <si>
    <t>f203</t>
  </si>
  <si>
    <t>f124</t>
  </si>
  <si>
    <t>f062</t>
  </si>
  <si>
    <t>f194</t>
  </si>
  <si>
    <t>f402</t>
  </si>
  <si>
    <t>f007</t>
  </si>
  <si>
    <t>f277</t>
  </si>
  <si>
    <t>f222</t>
  </si>
  <si>
    <t>f419</t>
  </si>
  <si>
    <t>f116</t>
  </si>
  <si>
    <t>f166</t>
  </si>
  <si>
    <t>f404</t>
  </si>
  <si>
    <t>f172</t>
  </si>
  <si>
    <t>f263</t>
  </si>
  <si>
    <t>f314</t>
  </si>
  <si>
    <t>f131</t>
  </si>
  <si>
    <t>f307</t>
  </si>
  <si>
    <t>f072</t>
  </si>
  <si>
    <t>f271</t>
  </si>
  <si>
    <t>f140</t>
  </si>
  <si>
    <t>f366</t>
  </si>
  <si>
    <t>f078</t>
  </si>
  <si>
    <t>f346</t>
  </si>
  <si>
    <t>f315</t>
  </si>
  <si>
    <t>f282</t>
  </si>
  <si>
    <t>f039</t>
  </si>
  <si>
    <t>f310</t>
  </si>
  <si>
    <t>f289</t>
  </si>
  <si>
    <t>f169</t>
  </si>
  <si>
    <t>f154</t>
  </si>
  <si>
    <t>f209</t>
  </si>
  <si>
    <t>f028</t>
  </si>
  <si>
    <t>f265</t>
  </si>
  <si>
    <t>f351</t>
  </si>
  <si>
    <t>f258</t>
  </si>
  <si>
    <t>f311</t>
  </si>
  <si>
    <t>f216</t>
  </si>
  <si>
    <t>f357</t>
  </si>
  <si>
    <t>f033</t>
  </si>
  <si>
    <t>f362</t>
  </si>
  <si>
    <t>f002</t>
  </si>
  <si>
    <t>f400</t>
  </si>
  <si>
    <t>f022</t>
  </si>
  <si>
    <t>f290</t>
  </si>
  <si>
    <t>f048</t>
  </si>
  <si>
    <t>f202</t>
  </si>
  <si>
    <t>f221</t>
  </si>
  <si>
    <t>f198</t>
  </si>
  <si>
    <t>f010</t>
  </si>
  <si>
    <t>f356</t>
  </si>
  <si>
    <t>f098</t>
  </si>
  <si>
    <t>f340</t>
  </si>
  <si>
    <t>f012</t>
  </si>
  <si>
    <t>f360</t>
  </si>
  <si>
    <t>f286</t>
  </si>
  <si>
    <t>f096</t>
  </si>
  <si>
    <t>f367</t>
  </si>
  <si>
    <t>f379</t>
  </si>
  <si>
    <t>f134</t>
  </si>
  <si>
    <t>f139</t>
  </si>
  <si>
    <t>f057</t>
  </si>
  <si>
    <t>f349</t>
  </si>
  <si>
    <t>f041</t>
  </si>
  <si>
    <t>f031</t>
  </si>
  <si>
    <t>f296</t>
  </si>
  <si>
    <t>f330</t>
  </si>
  <si>
    <t>f213</t>
  </si>
  <si>
    <t>f149</t>
  </si>
  <si>
    <t>f238</t>
  </si>
  <si>
    <t>f262</t>
  </si>
  <si>
    <t>f123</t>
  </si>
  <si>
    <t>f303</t>
  </si>
  <si>
    <t>f377</t>
  </si>
  <si>
    <t>f339</t>
  </si>
  <si>
    <t>f347</t>
  </si>
  <si>
    <t>f390</t>
  </si>
  <si>
    <t>f177</t>
  </si>
  <si>
    <t>f141</t>
  </si>
  <si>
    <t>f325</t>
  </si>
  <si>
    <t>f066</t>
  </si>
  <si>
    <t>f191</t>
  </si>
  <si>
    <t>f378</t>
  </si>
  <si>
    <t>f333</t>
  </si>
  <si>
    <t>f326</t>
  </si>
  <si>
    <t>f045</t>
  </si>
  <si>
    <t>f327</t>
  </si>
  <si>
    <t>f178</t>
  </si>
  <si>
    <t>f361</t>
  </si>
  <si>
    <t>f004</t>
  </si>
  <si>
    <t>f285</t>
  </si>
  <si>
    <t>f248</t>
  </si>
  <si>
    <t>f054</t>
  </si>
  <si>
    <t>f051</t>
  </si>
  <si>
    <t>f171</t>
  </si>
  <si>
    <t>f103</t>
  </si>
  <si>
    <t>f421</t>
  </si>
  <si>
    <t>f014</t>
  </si>
  <si>
    <t>f102</t>
  </si>
  <si>
    <t>f372</t>
  </si>
  <si>
    <t>f097</t>
  </si>
  <si>
    <t>f032</t>
  </si>
  <si>
    <t>f336</t>
  </si>
  <si>
    <t>f274</t>
  </si>
  <si>
    <t>f111</t>
  </si>
  <si>
    <t>f414</t>
  </si>
  <si>
    <t>f106</t>
  </si>
  <si>
    <t>f092</t>
  </si>
  <si>
    <t>f065</t>
  </si>
  <si>
    <t>f009</t>
  </si>
  <si>
    <t>f064</t>
  </si>
  <si>
    <t>f399</t>
  </si>
  <si>
    <t>f300</t>
  </si>
  <si>
    <t>f206</t>
  </si>
  <si>
    <t>f332</t>
  </si>
  <si>
    <t>f353</t>
  </si>
  <si>
    <t>f086</t>
  </si>
  <si>
    <t>f337</t>
  </si>
  <si>
    <t>f135</t>
  </si>
  <si>
    <t>f228</t>
  </si>
  <si>
    <t>f179</t>
  </si>
  <si>
    <t>f074</t>
  </si>
  <si>
    <t>f396</t>
  </si>
  <si>
    <t>f309</t>
  </si>
  <si>
    <t>f197</t>
  </si>
  <si>
    <t>f077</t>
  </si>
  <si>
    <t>f013</t>
  </si>
  <si>
    <t>f334</t>
  </si>
  <si>
    <t>f373</t>
  </si>
  <si>
    <t>f348</t>
  </si>
  <si>
    <t>f052</t>
  </si>
  <si>
    <t>f247</t>
  </si>
  <si>
    <t>f338</t>
  </si>
  <si>
    <t>f003</t>
  </si>
  <si>
    <t>f225</t>
  </si>
  <si>
    <t>f230</t>
  </si>
  <si>
    <t>f119</t>
  </si>
  <si>
    <t>f252</t>
  </si>
  <si>
    <t>f162</t>
  </si>
  <si>
    <t>f259</t>
  </si>
  <si>
    <t>f129</t>
  </si>
  <si>
    <t>f107</t>
  </si>
  <si>
    <t>f364</t>
  </si>
  <si>
    <t>f058</t>
  </si>
  <si>
    <t>f358</t>
  </si>
  <si>
    <t>f395</t>
  </si>
  <si>
    <t>f306</t>
  </si>
  <si>
    <t>f363</t>
  </si>
  <si>
    <t>f244</t>
  </si>
  <si>
    <t>f089</t>
  </si>
  <si>
    <t>f320</t>
  </si>
  <si>
    <t>f113</t>
  </si>
  <si>
    <t>f268</t>
  </si>
  <si>
    <t>f130</t>
  </si>
  <si>
    <t>f229</t>
  </si>
  <si>
    <t>f182</t>
  </si>
  <si>
    <t>f387</t>
  </si>
  <si>
    <t>f046</t>
  </si>
  <si>
    <t>f205</t>
  </si>
  <si>
    <t>f382</t>
  </si>
  <si>
    <t>f164</t>
  </si>
  <si>
    <t>f199</t>
  </si>
  <si>
    <t>f324</t>
  </si>
  <si>
    <t>f210</t>
  </si>
  <si>
    <t>f073</t>
  </si>
  <si>
    <t>f079</t>
  </si>
  <si>
    <t>f112</t>
  </si>
  <si>
    <t>f200</t>
  </si>
  <si>
    <t>f027</t>
  </si>
  <si>
    <t>f420</t>
  </si>
  <si>
    <t>f071</t>
  </si>
  <si>
    <t>f409</t>
  </si>
  <si>
    <t>f148</t>
  </si>
  <si>
    <t>f246</t>
  </si>
  <si>
    <t>f217</t>
  </si>
  <si>
    <t>f167</t>
  </si>
  <si>
    <t>f218</t>
  </si>
  <si>
    <t>f128</t>
  </si>
  <si>
    <t>f061</t>
  </si>
  <si>
    <t>f016</t>
  </si>
  <si>
    <t>f278</t>
  </si>
  <si>
    <t>f416</t>
  </si>
  <si>
    <t>f232</t>
  </si>
  <si>
    <t>f104</t>
  </si>
  <si>
    <t>f406</t>
  </si>
  <si>
    <t>f047</t>
  </si>
  <si>
    <t>f068</t>
  </si>
  <si>
    <t>f384</t>
  </si>
  <si>
    <t>f350</t>
  </si>
  <si>
    <t>f050</t>
  </si>
  <si>
    <t>f297</t>
  </si>
  <si>
    <t>f021</t>
  </si>
  <si>
    <t>f301</t>
  </si>
  <si>
    <t>f150</t>
  </si>
  <si>
    <t>f393</t>
  </si>
  <si>
    <t>f284</t>
  </si>
  <si>
    <t>f070</t>
  </si>
  <si>
    <t>f015</t>
  </si>
  <si>
    <t>f153</t>
  </si>
  <si>
    <t>f255</t>
  </si>
  <si>
    <t>f186</t>
  </si>
  <si>
    <t>f381</t>
  </si>
  <si>
    <t>f331</t>
  </si>
  <si>
    <t>f088</t>
  </si>
  <si>
    <t>f143</t>
  </si>
  <si>
    <t>f211</t>
  </si>
  <si>
    <t>f094</t>
  </si>
  <si>
    <t>f408</t>
  </si>
  <si>
    <t>f024</t>
  </si>
  <si>
    <t>f029</t>
  </si>
  <si>
    <t>f405</t>
  </si>
  <si>
    <t>f413</t>
  </si>
  <si>
    <t>f049</t>
  </si>
  <si>
    <t>f187</t>
  </si>
  <si>
    <t>f190</t>
  </si>
  <si>
    <t>f056</t>
  </si>
  <si>
    <t>f392</t>
  </si>
  <si>
    <t>f403</t>
  </si>
  <si>
    <t>f127</t>
  </si>
  <si>
    <t>f160</t>
  </si>
  <si>
    <t>f109</t>
  </si>
  <si>
    <t>f295</t>
  </si>
  <si>
    <t>f293</t>
  </si>
  <si>
    <t>f264</t>
  </si>
  <si>
    <t>f376</t>
  </si>
  <si>
    <t>f067</t>
  </si>
  <si>
    <t>f023</t>
  </si>
  <si>
    <t>f168</t>
  </si>
  <si>
    <t>f240</t>
  </si>
  <si>
    <t>f313</t>
  </si>
  <si>
    <t>f059</t>
  </si>
  <si>
    <t>f017</t>
  </si>
  <si>
    <t>f053</t>
  </si>
  <si>
    <t>f422</t>
  </si>
  <si>
    <t>f388</t>
  </si>
  <si>
    <t>f099</t>
  </si>
  <si>
    <t>f142</t>
  </si>
  <si>
    <t>f117</t>
  </si>
  <si>
    <t>f158</t>
  </si>
  <si>
    <t>f115</t>
  </si>
  <si>
    <t>f368</t>
  </si>
  <si>
    <t>f176</t>
  </si>
  <si>
    <t>f417</t>
  </si>
  <si>
    <t>f001</t>
  </si>
  <si>
    <t>f267</t>
  </si>
  <si>
    <t>f152</t>
  </si>
  <si>
    <t>f208</t>
  </si>
  <si>
    <t>f076</t>
  </si>
  <si>
    <t>f030</t>
  </si>
  <si>
    <t>f270</t>
  </si>
  <si>
    <t>f343</t>
  </si>
  <si>
    <t>f329</t>
  </si>
  <si>
    <t>f269</t>
  </si>
  <si>
    <t>f175</t>
  </si>
  <si>
    <t>f069</t>
  </si>
  <si>
    <t>f214</t>
  </si>
  <si>
    <t>f294</t>
  </si>
  <si>
    <t>f245</t>
  </si>
  <si>
    <t>f371</t>
  </si>
  <si>
    <t>f317</t>
  </si>
  <si>
    <t>f195</t>
  </si>
  <si>
    <t>f235</t>
  </si>
  <si>
    <t>f174</t>
  </si>
  <si>
    <t>f083</t>
  </si>
  <si>
    <t>f279</t>
  </si>
  <si>
    <t>f415</t>
  </si>
  <si>
    <t>f196</t>
  </si>
  <si>
    <t>f212</t>
  </si>
  <si>
    <t>f036</t>
  </si>
  <si>
    <t>f095</t>
  </si>
  <si>
    <t>f165</t>
  </si>
  <si>
    <t>f091</t>
  </si>
  <si>
    <t>f398</t>
  </si>
  <si>
    <t>f159</t>
  </si>
  <si>
    <t>f138</t>
  </si>
  <si>
    <t>f359</t>
  </si>
  <si>
    <t>f407</t>
  </si>
  <si>
    <t>f040</t>
  </si>
  <si>
    <t>f108</t>
  </si>
  <si>
    <t>f060</t>
  </si>
  <si>
    <t>f299</t>
  </si>
  <si>
    <t>f204</t>
  </si>
  <si>
    <t>f075</t>
  </si>
  <si>
    <t>f157</t>
  </si>
  <si>
    <t>f121</t>
  </si>
  <si>
    <t>f418</t>
  </si>
  <si>
    <t>f308</t>
  </si>
  <si>
    <t>f283</t>
  </si>
  <si>
    <t>f037</t>
  </si>
  <si>
    <t>f110</t>
  </si>
  <si>
    <t>f173</t>
  </si>
  <si>
    <t>f389</t>
  </si>
  <si>
    <t>f328</t>
  </si>
  <si>
    <t>f241</t>
  </si>
  <si>
    <t>f137</t>
  </si>
  <si>
    <t>f100</t>
  </si>
  <si>
    <t>f055</t>
  </si>
  <si>
    <t>f385</t>
  </si>
  <si>
    <t>f136</t>
  </si>
  <si>
    <t>f322</t>
  </si>
  <si>
    <t>f224</t>
  </si>
  <si>
    <t>f354</t>
  </si>
  <si>
    <t>f287</t>
  </si>
  <si>
    <t>f185</t>
  </si>
  <si>
    <t>f323</t>
  </si>
  <si>
    <t>f239</t>
  </si>
  <si>
    <t>f374</t>
  </si>
  <si>
    <t>f231</t>
  </si>
  <si>
    <t>f342</t>
  </si>
  <si>
    <t>f256</t>
  </si>
  <si>
    <t>f035</t>
  </si>
  <si>
    <t>f193</t>
  </si>
  <si>
    <t>f249</t>
  </si>
  <si>
    <t>f272</t>
  </si>
  <si>
    <t>f236</t>
  </si>
  <si>
    <t>f025</t>
  </si>
  <si>
    <t>f304</t>
  </si>
  <si>
    <t>f181</t>
  </si>
  <si>
    <t>f369</t>
  </si>
  <si>
    <t>f132</t>
  </si>
  <si>
    <t>f321</t>
  </si>
  <si>
    <t>f345</t>
  </si>
  <si>
    <t>f275</t>
  </si>
  <si>
    <t>f260</t>
  </si>
  <si>
    <t>f220</t>
  </si>
  <si>
    <t>f226</t>
  </si>
  <si>
    <t>f380</t>
  </si>
  <si>
    <t>f090</t>
  </si>
  <si>
    <t>f144</t>
  </si>
  <si>
    <t>f280</t>
  </si>
  <si>
    <t>f207</t>
  </si>
  <si>
    <t>f156</t>
  </si>
  <si>
    <t>f147</t>
  </si>
  <si>
    <t>f019</t>
  </si>
  <si>
    <t>f018</t>
  </si>
  <si>
    <t>f082</t>
  </si>
  <si>
    <t>f233</t>
  </si>
  <si>
    <t>f043</t>
  </si>
  <si>
    <t>f341</t>
  </si>
  <si>
    <t>f401</t>
  </si>
  <si>
    <t>f316</t>
  </si>
  <si>
    <t>f386</t>
  </si>
  <si>
    <t>f105</t>
  </si>
  <si>
    <t>Mean</t>
  </si>
  <si>
    <t>Standard Error</t>
  </si>
  <si>
    <t>Median</t>
  </si>
  <si>
    <t>Mode</t>
  </si>
  <si>
    <t>Standard Deviation</t>
  </si>
  <si>
    <t>Sample Variance</t>
  </si>
  <si>
    <t>Kurtosis</t>
  </si>
  <si>
    <t>Skewness</t>
  </si>
  <si>
    <t>Range</t>
  </si>
  <si>
    <t>Minimum</t>
  </si>
  <si>
    <t>Maximum</t>
  </si>
  <si>
    <t>Sum</t>
  </si>
  <si>
    <t>Count</t>
  </si>
  <si>
    <t>Row Labels</t>
  </si>
  <si>
    <t>Count of Farm records</t>
  </si>
  <si>
    <t xml:space="preserve"> </t>
  </si>
  <si>
    <t>Grand Total</t>
  </si>
  <si>
    <t>Count of Education</t>
  </si>
  <si>
    <t>Count of Sex</t>
  </si>
  <si>
    <t>Count of Advisory</t>
  </si>
  <si>
    <t xml:space="preserve">                     Yield</t>
  </si>
  <si>
    <t>mean</t>
  </si>
  <si>
    <t>standard error</t>
  </si>
  <si>
    <t>median</t>
  </si>
  <si>
    <t>mode</t>
  </si>
  <si>
    <t>standard deviation</t>
  </si>
  <si>
    <t>sample varience</t>
  </si>
  <si>
    <t>kurtosis</t>
  </si>
  <si>
    <t>skewness</t>
  </si>
  <si>
    <t>range</t>
  </si>
  <si>
    <t>minimum</t>
  </si>
  <si>
    <t>maximum</t>
  </si>
  <si>
    <t>sum</t>
  </si>
  <si>
    <t>count</t>
  </si>
  <si>
    <t>Is there a difference in average number of people in a farmers' household based on advisory</t>
  </si>
  <si>
    <t>Anova: Single Factor</t>
  </si>
  <si>
    <t>SUMMARY</t>
  </si>
  <si>
    <t>Groups</t>
  </si>
  <si>
    <t>Average</t>
  </si>
  <si>
    <t>Variance</t>
  </si>
  <si>
    <t>ANOVA</t>
  </si>
  <si>
    <t>Source of Variation</t>
  </si>
  <si>
    <t>SS</t>
  </si>
  <si>
    <t>df</t>
  </si>
  <si>
    <t>MS</t>
  </si>
  <si>
    <t>F</t>
  </si>
  <si>
    <t>P-value</t>
  </si>
  <si>
    <t>F crit</t>
  </si>
  <si>
    <t>Between Groups</t>
  </si>
  <si>
    <t>Within Groups</t>
  </si>
  <si>
    <t>Total</t>
  </si>
  <si>
    <t xml:space="preserve">  </t>
  </si>
  <si>
    <t>xx-</t>
  </si>
  <si>
    <t>SUMMARY OUTPUT</t>
  </si>
  <si>
    <t>Regression Statistics</t>
  </si>
  <si>
    <t>Multiple R</t>
  </si>
  <si>
    <t>R Square</t>
  </si>
  <si>
    <t>Adjusted R Square</t>
  </si>
  <si>
    <t>Observations</t>
  </si>
  <si>
    <t>Regression</t>
  </si>
  <si>
    <t>Residual</t>
  </si>
  <si>
    <t>Intercept</t>
  </si>
  <si>
    <t>Significance F</t>
  </si>
  <si>
    <t>Coefficients</t>
  </si>
  <si>
    <t>t Stat</t>
  </si>
  <si>
    <t>Lower 95%</t>
  </si>
  <si>
    <t>Upper 95%</t>
  </si>
  <si>
    <t>Lower 95.0%</t>
  </si>
  <si>
    <t>Upper 95.0%</t>
  </si>
  <si>
    <t>X Variable 1</t>
  </si>
  <si>
    <t>X Variable 2</t>
  </si>
  <si>
    <t>X Variable 3</t>
  </si>
  <si>
    <t>X Variable 4</t>
  </si>
  <si>
    <t>VIF For Age</t>
  </si>
  <si>
    <t>Public Gathering</t>
  </si>
  <si>
    <t>Extension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</si>
</sst>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i/>
      <sz val="12"/>
      <color theme="1"/>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7" tint="0.399975585192419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6" fillId="0" borderId="0" xfId="0" applyFont="1"/>
    <xf numFmtId="0" fontId="0" fillId="0" borderId="11" xfId="0" applyBorder="1"/>
    <xf numFmtId="0" fontId="18" fillId="0" borderId="12" xfId="0" applyFont="1" applyBorder="1" applyAlignment="1">
      <alignment horizontal="centerContinuous"/>
    </xf>
    <xf numFmtId="0" fontId="0" fillId="0" borderId="0" xfId="0" pivotButton="1"/>
    <xf numFmtId="0" fontId="0" fillId="0" borderId="0" xfId="0" applyAlignment="1">
      <alignment horizontal="left"/>
    </xf>
    <xf numFmtId="0" fontId="16" fillId="0" borderId="10" xfId="0" applyFont="1" applyBorder="1"/>
    <xf numFmtId="0" fontId="1" fillId="0" borderId="0" xfId="0" applyFont="1"/>
    <xf numFmtId="0" fontId="16" fillId="33" borderId="0" xfId="0" applyFont="1" applyFill="1"/>
    <xf numFmtId="0" fontId="16" fillId="34" borderId="0" xfId="0" applyFont="1" applyFill="1"/>
    <xf numFmtId="0" fontId="18" fillId="0" borderId="12" xfId="0" applyFont="1" applyBorder="1" applyAlignment="1">
      <alignment horizontal="center"/>
    </xf>
    <xf numFmtId="0" fontId="0" fillId="35" borderId="0" xfId="0" applyFill="1"/>
    <xf numFmtId="0" fontId="0" fillId="35" borderId="11" xfId="0" applyFill="1" applyBorder="1"/>
    <xf numFmtId="0" fontId="0" fillId="36" borderId="11" xfId="0" applyFill="1" applyBorder="1"/>
    <xf numFmtId="0" fontId="0" fillId="37" borderId="11" xfId="0" applyFill="1" applyBorder="1"/>
    <xf numFmtId="0" fontId="0" fillId="36" borderId="0" xfId="0" applyFill="1"/>
    <xf numFmtId="0" fontId="0" fillId="38"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Farm Records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12-4886-A222-D65E1728A3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12-4886-A222-D65E1728A3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12-4886-A222-D65E1728A3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No</c:v>
              </c:pt>
              <c:pt idx="1">
                <c:v>Yes</c:v>
              </c:pt>
              <c:pt idx="2">
                <c:v>(blank)</c:v>
              </c:pt>
            </c:strLit>
          </c:cat>
          <c:val>
            <c:numLit>
              <c:formatCode>General</c:formatCode>
              <c:ptCount val="3"/>
              <c:pt idx="0">
                <c:v>216</c:v>
              </c:pt>
              <c:pt idx="1">
                <c:v>84</c:v>
              </c:pt>
              <c:pt idx="2">
                <c:v>0</c:v>
              </c:pt>
            </c:numLit>
          </c:val>
          <c:extLst>
            <c:ext xmlns:c16="http://schemas.microsoft.com/office/drawing/2014/chart" uri="{C3380CC4-5D6E-409C-BE32-E72D297353CC}">
              <c16:uniqueId val="{00000006-1012-4886-A222-D65E1728A3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ED-473A-9656-A4CDA5EC30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ED-473A-9656-A4CDA5EC30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ED-473A-9656-A4CDA5EC30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ED-473A-9656-A4CDA5EC30D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0ED-473A-9656-A4CDA5EC30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Certificate</c:v>
              </c:pt>
              <c:pt idx="1">
                <c:v>Degree</c:v>
              </c:pt>
              <c:pt idx="2">
                <c:v>Diploma</c:v>
              </c:pt>
              <c:pt idx="3">
                <c:v>Primary</c:v>
              </c:pt>
              <c:pt idx="4">
                <c:v>Secondary</c:v>
              </c:pt>
            </c:strLit>
          </c:cat>
          <c:val>
            <c:numLit>
              <c:formatCode>General</c:formatCode>
              <c:ptCount val="5"/>
              <c:pt idx="0">
                <c:v>13</c:v>
              </c:pt>
              <c:pt idx="1">
                <c:v>5</c:v>
              </c:pt>
              <c:pt idx="2">
                <c:v>7</c:v>
              </c:pt>
              <c:pt idx="3">
                <c:v>177</c:v>
              </c:pt>
              <c:pt idx="4">
                <c:v>98</c:v>
              </c:pt>
            </c:numLit>
          </c:val>
          <c:extLst>
            <c:ext xmlns:c16="http://schemas.microsoft.com/office/drawing/2014/chart" uri="{C3380CC4-5D6E-409C-BE32-E72D297353CC}">
              <c16:uniqueId val="{0000000A-40ED-473A-9656-A4CDA5EC30D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DA-4B4A-A478-63AE8B41C6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DA-4B4A-A478-63AE8B41C6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DA-4B4A-A478-63AE8B41C6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209</c:v>
              </c:pt>
              <c:pt idx="1">
                <c:v>91</c:v>
              </c:pt>
            </c:numLit>
          </c:val>
          <c:extLst>
            <c:ext xmlns:c16="http://schemas.microsoft.com/office/drawing/2014/chart" uri="{C3380CC4-5D6E-409C-BE32-E72D297353CC}">
              <c16:uniqueId val="{00000000-9ADB-4EA2-9CA5-F912DDA821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Advisory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6"/>
              <c:pt idx="0">
                <c:v>Extension services</c:v>
              </c:pt>
              <c:pt idx="1">
                <c:v>Internet</c:v>
              </c:pt>
              <c:pt idx="2">
                <c:v>Public gatherings</c:v>
              </c:pt>
              <c:pt idx="3">
                <c:v>Radio</c:v>
              </c:pt>
              <c:pt idx="4">
                <c:v>Television</c:v>
              </c:pt>
              <c:pt idx="5">
                <c:v> </c:v>
              </c:pt>
            </c:strLit>
          </c:cat>
          <c:val>
            <c:numLit>
              <c:formatCode>General</c:formatCode>
              <c:ptCount val="6"/>
              <c:pt idx="0">
                <c:v>75</c:v>
              </c:pt>
              <c:pt idx="1">
                <c:v>11</c:v>
              </c:pt>
              <c:pt idx="2">
                <c:v>72</c:v>
              </c:pt>
              <c:pt idx="3">
                <c:v>134</c:v>
              </c:pt>
              <c:pt idx="4">
                <c:v>8</c:v>
              </c:pt>
              <c:pt idx="5">
                <c:v>0</c:v>
              </c:pt>
            </c:numLit>
          </c:val>
          <c:extLst>
            <c:ext xmlns:c16="http://schemas.microsoft.com/office/drawing/2014/chart" uri="{C3380CC4-5D6E-409C-BE32-E72D297353CC}">
              <c16:uniqueId val="{00000000-E751-491D-8319-2FFF6B638848}"/>
            </c:ext>
          </c:extLst>
        </c:ser>
        <c:dLbls>
          <c:showLegendKey val="0"/>
          <c:showVal val="0"/>
          <c:showCatName val="0"/>
          <c:showSerName val="0"/>
          <c:showPercent val="0"/>
          <c:showBubbleSize val="0"/>
        </c:dLbls>
        <c:gapWidth val="182"/>
        <c:axId val="1993593311"/>
        <c:axId val="1993597151"/>
      </c:barChart>
      <c:catAx>
        <c:axId val="199359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597151"/>
        <c:crosses val="autoZero"/>
        <c:auto val="1"/>
        <c:lblAlgn val="ctr"/>
        <c:lblOffset val="100"/>
        <c:noMultiLvlLbl val="0"/>
      </c:catAx>
      <c:valAx>
        <c:axId val="1993597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59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Fertilizer</a:t>
            </a:r>
            <a:r>
              <a:rPr lang="en-US" b="1" baseline="0">
                <a:solidFill>
                  <a:schemeClr val="tx1"/>
                </a:solidFill>
              </a:rPr>
              <a:t> x Acreage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Correlation!$D$1</c:f>
              <c:strCache>
                <c:ptCount val="1"/>
                <c:pt idx="0">
                  <c:v>Fertilizer</c:v>
                </c:pt>
              </c:strCache>
            </c:strRef>
          </c:tx>
          <c:spPr>
            <a:ln w="38100" cap="rnd">
              <a:noFill/>
              <a:round/>
            </a:ln>
            <a:effectLst/>
          </c:spPr>
          <c:marker>
            <c:symbol val="circle"/>
            <c:size val="5"/>
            <c:spPr>
              <a:solidFill>
                <a:schemeClr val="accent1"/>
              </a:solidFill>
              <a:ln w="9525">
                <a:solidFill>
                  <a:schemeClr val="accent1"/>
                </a:solidFill>
              </a:ln>
              <a:effectLst/>
            </c:spPr>
          </c:marker>
          <c:xVal>
            <c:numRef>
              <c:f>Correlation!$C$2:$C$301</c:f>
              <c:numCache>
                <c:formatCode>General</c:formatCode>
                <c:ptCount val="300"/>
                <c:pt idx="0">
                  <c:v>0.25</c:v>
                </c:pt>
                <c:pt idx="1">
                  <c:v>0.5</c:v>
                </c:pt>
                <c:pt idx="2">
                  <c:v>1.5</c:v>
                </c:pt>
                <c:pt idx="3">
                  <c:v>1</c:v>
                </c:pt>
                <c:pt idx="4">
                  <c:v>0.25</c:v>
                </c:pt>
                <c:pt idx="5">
                  <c:v>2</c:v>
                </c:pt>
                <c:pt idx="6">
                  <c:v>0.5</c:v>
                </c:pt>
                <c:pt idx="7">
                  <c:v>0.25</c:v>
                </c:pt>
                <c:pt idx="8">
                  <c:v>1</c:v>
                </c:pt>
                <c:pt idx="9">
                  <c:v>0.5</c:v>
                </c:pt>
                <c:pt idx="10">
                  <c:v>1</c:v>
                </c:pt>
                <c:pt idx="11">
                  <c:v>0.5</c:v>
                </c:pt>
                <c:pt idx="12">
                  <c:v>0.5</c:v>
                </c:pt>
                <c:pt idx="13">
                  <c:v>0.25</c:v>
                </c:pt>
                <c:pt idx="14">
                  <c:v>0.5</c:v>
                </c:pt>
                <c:pt idx="15">
                  <c:v>0.5</c:v>
                </c:pt>
                <c:pt idx="16">
                  <c:v>0.5</c:v>
                </c:pt>
                <c:pt idx="17">
                  <c:v>1</c:v>
                </c:pt>
                <c:pt idx="18">
                  <c:v>0.5</c:v>
                </c:pt>
                <c:pt idx="19">
                  <c:v>1</c:v>
                </c:pt>
                <c:pt idx="20">
                  <c:v>1</c:v>
                </c:pt>
                <c:pt idx="21">
                  <c:v>0.75</c:v>
                </c:pt>
                <c:pt idx="22">
                  <c:v>0.5</c:v>
                </c:pt>
                <c:pt idx="23">
                  <c:v>2.5</c:v>
                </c:pt>
                <c:pt idx="24">
                  <c:v>0.25</c:v>
                </c:pt>
                <c:pt idx="25">
                  <c:v>0.5</c:v>
                </c:pt>
                <c:pt idx="26">
                  <c:v>0.5</c:v>
                </c:pt>
                <c:pt idx="27">
                  <c:v>0.3</c:v>
                </c:pt>
                <c:pt idx="28">
                  <c:v>0.5</c:v>
                </c:pt>
                <c:pt idx="29">
                  <c:v>0.25</c:v>
                </c:pt>
                <c:pt idx="30">
                  <c:v>1</c:v>
                </c:pt>
                <c:pt idx="31">
                  <c:v>2</c:v>
                </c:pt>
                <c:pt idx="32">
                  <c:v>1</c:v>
                </c:pt>
                <c:pt idx="33">
                  <c:v>0.5</c:v>
                </c:pt>
                <c:pt idx="34">
                  <c:v>0.5</c:v>
                </c:pt>
                <c:pt idx="35">
                  <c:v>0.5</c:v>
                </c:pt>
                <c:pt idx="36">
                  <c:v>0.75</c:v>
                </c:pt>
                <c:pt idx="37">
                  <c:v>1</c:v>
                </c:pt>
                <c:pt idx="38">
                  <c:v>1</c:v>
                </c:pt>
                <c:pt idx="39">
                  <c:v>1</c:v>
                </c:pt>
                <c:pt idx="40">
                  <c:v>0.5</c:v>
                </c:pt>
                <c:pt idx="41">
                  <c:v>0.25</c:v>
                </c:pt>
                <c:pt idx="42">
                  <c:v>1</c:v>
                </c:pt>
                <c:pt idx="43">
                  <c:v>1</c:v>
                </c:pt>
                <c:pt idx="44">
                  <c:v>1</c:v>
                </c:pt>
                <c:pt idx="45">
                  <c:v>0.5</c:v>
                </c:pt>
                <c:pt idx="46">
                  <c:v>0.25</c:v>
                </c:pt>
                <c:pt idx="47">
                  <c:v>1</c:v>
                </c:pt>
                <c:pt idx="48">
                  <c:v>0.25</c:v>
                </c:pt>
                <c:pt idx="49">
                  <c:v>2</c:v>
                </c:pt>
                <c:pt idx="50">
                  <c:v>1.5</c:v>
                </c:pt>
                <c:pt idx="51">
                  <c:v>0.25</c:v>
                </c:pt>
                <c:pt idx="52">
                  <c:v>1</c:v>
                </c:pt>
                <c:pt idx="53">
                  <c:v>0.5</c:v>
                </c:pt>
                <c:pt idx="54">
                  <c:v>1</c:v>
                </c:pt>
                <c:pt idx="55">
                  <c:v>1.5</c:v>
                </c:pt>
                <c:pt idx="56">
                  <c:v>1</c:v>
                </c:pt>
                <c:pt idx="57">
                  <c:v>1.5</c:v>
                </c:pt>
                <c:pt idx="58">
                  <c:v>0.5</c:v>
                </c:pt>
                <c:pt idx="59">
                  <c:v>1</c:v>
                </c:pt>
                <c:pt idx="60">
                  <c:v>0.25</c:v>
                </c:pt>
                <c:pt idx="61">
                  <c:v>0.75</c:v>
                </c:pt>
                <c:pt idx="62">
                  <c:v>1</c:v>
                </c:pt>
                <c:pt idx="63">
                  <c:v>0.5</c:v>
                </c:pt>
                <c:pt idx="64">
                  <c:v>2</c:v>
                </c:pt>
                <c:pt idx="65">
                  <c:v>0.75</c:v>
                </c:pt>
                <c:pt idx="66">
                  <c:v>1</c:v>
                </c:pt>
                <c:pt idx="67">
                  <c:v>0.25</c:v>
                </c:pt>
                <c:pt idx="68">
                  <c:v>1.5</c:v>
                </c:pt>
                <c:pt idx="69">
                  <c:v>0.5</c:v>
                </c:pt>
                <c:pt idx="70">
                  <c:v>0.5</c:v>
                </c:pt>
                <c:pt idx="71">
                  <c:v>1</c:v>
                </c:pt>
                <c:pt idx="72">
                  <c:v>0.5</c:v>
                </c:pt>
                <c:pt idx="73">
                  <c:v>0.25</c:v>
                </c:pt>
                <c:pt idx="74">
                  <c:v>0.5</c:v>
                </c:pt>
                <c:pt idx="75">
                  <c:v>3</c:v>
                </c:pt>
                <c:pt idx="76">
                  <c:v>1</c:v>
                </c:pt>
                <c:pt idx="77">
                  <c:v>1</c:v>
                </c:pt>
                <c:pt idx="78">
                  <c:v>0.25</c:v>
                </c:pt>
                <c:pt idx="79">
                  <c:v>1</c:v>
                </c:pt>
                <c:pt idx="80">
                  <c:v>0.5</c:v>
                </c:pt>
                <c:pt idx="81">
                  <c:v>0.25</c:v>
                </c:pt>
                <c:pt idx="82">
                  <c:v>1</c:v>
                </c:pt>
                <c:pt idx="83">
                  <c:v>0.5</c:v>
                </c:pt>
                <c:pt idx="84">
                  <c:v>0.25</c:v>
                </c:pt>
                <c:pt idx="85">
                  <c:v>0.25</c:v>
                </c:pt>
                <c:pt idx="86">
                  <c:v>0.5</c:v>
                </c:pt>
                <c:pt idx="87">
                  <c:v>0.75</c:v>
                </c:pt>
                <c:pt idx="88">
                  <c:v>0.25</c:v>
                </c:pt>
                <c:pt idx="89">
                  <c:v>2</c:v>
                </c:pt>
                <c:pt idx="90">
                  <c:v>0.5</c:v>
                </c:pt>
                <c:pt idx="91">
                  <c:v>0.5</c:v>
                </c:pt>
                <c:pt idx="92">
                  <c:v>1.5</c:v>
                </c:pt>
                <c:pt idx="93">
                  <c:v>1</c:v>
                </c:pt>
                <c:pt idx="94">
                  <c:v>0.75</c:v>
                </c:pt>
                <c:pt idx="95">
                  <c:v>0.5</c:v>
                </c:pt>
                <c:pt idx="96">
                  <c:v>0.5</c:v>
                </c:pt>
                <c:pt idx="97">
                  <c:v>1</c:v>
                </c:pt>
                <c:pt idx="98">
                  <c:v>0.25</c:v>
                </c:pt>
                <c:pt idx="99">
                  <c:v>2</c:v>
                </c:pt>
                <c:pt idx="100">
                  <c:v>0.5</c:v>
                </c:pt>
                <c:pt idx="101">
                  <c:v>0.5</c:v>
                </c:pt>
                <c:pt idx="102">
                  <c:v>0.25</c:v>
                </c:pt>
                <c:pt idx="103">
                  <c:v>1</c:v>
                </c:pt>
                <c:pt idx="104">
                  <c:v>0.5</c:v>
                </c:pt>
                <c:pt idx="105">
                  <c:v>0.5</c:v>
                </c:pt>
                <c:pt idx="106">
                  <c:v>0.5</c:v>
                </c:pt>
                <c:pt idx="107">
                  <c:v>1</c:v>
                </c:pt>
                <c:pt idx="108">
                  <c:v>0.5</c:v>
                </c:pt>
                <c:pt idx="109">
                  <c:v>1</c:v>
                </c:pt>
                <c:pt idx="110">
                  <c:v>0.5</c:v>
                </c:pt>
                <c:pt idx="111">
                  <c:v>2</c:v>
                </c:pt>
                <c:pt idx="112">
                  <c:v>0.25</c:v>
                </c:pt>
                <c:pt idx="113">
                  <c:v>0.5</c:v>
                </c:pt>
                <c:pt idx="114">
                  <c:v>1</c:v>
                </c:pt>
                <c:pt idx="115">
                  <c:v>0.75</c:v>
                </c:pt>
                <c:pt idx="116">
                  <c:v>1</c:v>
                </c:pt>
                <c:pt idx="117">
                  <c:v>1</c:v>
                </c:pt>
                <c:pt idx="118">
                  <c:v>0.5</c:v>
                </c:pt>
                <c:pt idx="119">
                  <c:v>1</c:v>
                </c:pt>
                <c:pt idx="120">
                  <c:v>0.5</c:v>
                </c:pt>
                <c:pt idx="121">
                  <c:v>0.25</c:v>
                </c:pt>
                <c:pt idx="122">
                  <c:v>0.5</c:v>
                </c:pt>
                <c:pt idx="123">
                  <c:v>0.5</c:v>
                </c:pt>
                <c:pt idx="124">
                  <c:v>0.5</c:v>
                </c:pt>
                <c:pt idx="125">
                  <c:v>0.5</c:v>
                </c:pt>
                <c:pt idx="126">
                  <c:v>1</c:v>
                </c:pt>
                <c:pt idx="127">
                  <c:v>1</c:v>
                </c:pt>
                <c:pt idx="128">
                  <c:v>0.5</c:v>
                </c:pt>
                <c:pt idx="129">
                  <c:v>0.5</c:v>
                </c:pt>
                <c:pt idx="130">
                  <c:v>1</c:v>
                </c:pt>
                <c:pt idx="131">
                  <c:v>0.5</c:v>
                </c:pt>
                <c:pt idx="132">
                  <c:v>1</c:v>
                </c:pt>
                <c:pt idx="133">
                  <c:v>1</c:v>
                </c:pt>
                <c:pt idx="134">
                  <c:v>0.5</c:v>
                </c:pt>
                <c:pt idx="135">
                  <c:v>0.5</c:v>
                </c:pt>
                <c:pt idx="136">
                  <c:v>2.5</c:v>
                </c:pt>
                <c:pt idx="137">
                  <c:v>1</c:v>
                </c:pt>
                <c:pt idx="138">
                  <c:v>1</c:v>
                </c:pt>
                <c:pt idx="139">
                  <c:v>2</c:v>
                </c:pt>
                <c:pt idx="140">
                  <c:v>0.5</c:v>
                </c:pt>
                <c:pt idx="141">
                  <c:v>1</c:v>
                </c:pt>
                <c:pt idx="142">
                  <c:v>0.25</c:v>
                </c:pt>
                <c:pt idx="143">
                  <c:v>0.25</c:v>
                </c:pt>
                <c:pt idx="144">
                  <c:v>0.5</c:v>
                </c:pt>
                <c:pt idx="145">
                  <c:v>1</c:v>
                </c:pt>
                <c:pt idx="146">
                  <c:v>0.5</c:v>
                </c:pt>
                <c:pt idx="147">
                  <c:v>0.5</c:v>
                </c:pt>
                <c:pt idx="148">
                  <c:v>0.5</c:v>
                </c:pt>
                <c:pt idx="149">
                  <c:v>1</c:v>
                </c:pt>
                <c:pt idx="150">
                  <c:v>0.5</c:v>
                </c:pt>
                <c:pt idx="151">
                  <c:v>0.25</c:v>
                </c:pt>
                <c:pt idx="152">
                  <c:v>0.75</c:v>
                </c:pt>
                <c:pt idx="153">
                  <c:v>1</c:v>
                </c:pt>
                <c:pt idx="154">
                  <c:v>1.5</c:v>
                </c:pt>
                <c:pt idx="155">
                  <c:v>0.5</c:v>
                </c:pt>
                <c:pt idx="156">
                  <c:v>0.25</c:v>
                </c:pt>
                <c:pt idx="157">
                  <c:v>1.5</c:v>
                </c:pt>
                <c:pt idx="158">
                  <c:v>1</c:v>
                </c:pt>
                <c:pt idx="159">
                  <c:v>0.5</c:v>
                </c:pt>
                <c:pt idx="160">
                  <c:v>0.5</c:v>
                </c:pt>
                <c:pt idx="161">
                  <c:v>1</c:v>
                </c:pt>
                <c:pt idx="162">
                  <c:v>1</c:v>
                </c:pt>
                <c:pt idx="163">
                  <c:v>1</c:v>
                </c:pt>
                <c:pt idx="164">
                  <c:v>0.5</c:v>
                </c:pt>
                <c:pt idx="165">
                  <c:v>2</c:v>
                </c:pt>
                <c:pt idx="166">
                  <c:v>2</c:v>
                </c:pt>
                <c:pt idx="167">
                  <c:v>0.25</c:v>
                </c:pt>
                <c:pt idx="168">
                  <c:v>0.5</c:v>
                </c:pt>
                <c:pt idx="169">
                  <c:v>0.3</c:v>
                </c:pt>
                <c:pt idx="170">
                  <c:v>1.5</c:v>
                </c:pt>
                <c:pt idx="171">
                  <c:v>0.5</c:v>
                </c:pt>
                <c:pt idx="172">
                  <c:v>0.5</c:v>
                </c:pt>
                <c:pt idx="173">
                  <c:v>1.5</c:v>
                </c:pt>
                <c:pt idx="174">
                  <c:v>0.5</c:v>
                </c:pt>
                <c:pt idx="175">
                  <c:v>0.5</c:v>
                </c:pt>
                <c:pt idx="176">
                  <c:v>0.5</c:v>
                </c:pt>
                <c:pt idx="177">
                  <c:v>1.5</c:v>
                </c:pt>
                <c:pt idx="178">
                  <c:v>1</c:v>
                </c:pt>
                <c:pt idx="179">
                  <c:v>1</c:v>
                </c:pt>
                <c:pt idx="180">
                  <c:v>0.5</c:v>
                </c:pt>
                <c:pt idx="181">
                  <c:v>1</c:v>
                </c:pt>
                <c:pt idx="182">
                  <c:v>1</c:v>
                </c:pt>
                <c:pt idx="183">
                  <c:v>0.5</c:v>
                </c:pt>
                <c:pt idx="184">
                  <c:v>2</c:v>
                </c:pt>
                <c:pt idx="185">
                  <c:v>0.5</c:v>
                </c:pt>
                <c:pt idx="186">
                  <c:v>0.5</c:v>
                </c:pt>
                <c:pt idx="187">
                  <c:v>2</c:v>
                </c:pt>
                <c:pt idx="188">
                  <c:v>0.5</c:v>
                </c:pt>
                <c:pt idx="189">
                  <c:v>1</c:v>
                </c:pt>
                <c:pt idx="190">
                  <c:v>0.25</c:v>
                </c:pt>
                <c:pt idx="191">
                  <c:v>1</c:v>
                </c:pt>
                <c:pt idx="192">
                  <c:v>0.5</c:v>
                </c:pt>
                <c:pt idx="193">
                  <c:v>0.3</c:v>
                </c:pt>
                <c:pt idx="194">
                  <c:v>0.5</c:v>
                </c:pt>
                <c:pt idx="195">
                  <c:v>1</c:v>
                </c:pt>
                <c:pt idx="196">
                  <c:v>0.25</c:v>
                </c:pt>
                <c:pt idx="197">
                  <c:v>0.5</c:v>
                </c:pt>
                <c:pt idx="198">
                  <c:v>1</c:v>
                </c:pt>
                <c:pt idx="199">
                  <c:v>0.5</c:v>
                </c:pt>
                <c:pt idx="200">
                  <c:v>0.75</c:v>
                </c:pt>
                <c:pt idx="201">
                  <c:v>0.25</c:v>
                </c:pt>
                <c:pt idx="202">
                  <c:v>2</c:v>
                </c:pt>
                <c:pt idx="203">
                  <c:v>1</c:v>
                </c:pt>
                <c:pt idx="204">
                  <c:v>0.25</c:v>
                </c:pt>
                <c:pt idx="205">
                  <c:v>0.25</c:v>
                </c:pt>
                <c:pt idx="206">
                  <c:v>0.5</c:v>
                </c:pt>
                <c:pt idx="207">
                  <c:v>1</c:v>
                </c:pt>
                <c:pt idx="208">
                  <c:v>0.5</c:v>
                </c:pt>
                <c:pt idx="209">
                  <c:v>0.5</c:v>
                </c:pt>
                <c:pt idx="210">
                  <c:v>0.5</c:v>
                </c:pt>
                <c:pt idx="211">
                  <c:v>1</c:v>
                </c:pt>
                <c:pt idx="212">
                  <c:v>0.5</c:v>
                </c:pt>
                <c:pt idx="213">
                  <c:v>1</c:v>
                </c:pt>
                <c:pt idx="214">
                  <c:v>0.5</c:v>
                </c:pt>
                <c:pt idx="215">
                  <c:v>0.75</c:v>
                </c:pt>
                <c:pt idx="216">
                  <c:v>0.25</c:v>
                </c:pt>
                <c:pt idx="217">
                  <c:v>0.25</c:v>
                </c:pt>
                <c:pt idx="218">
                  <c:v>1</c:v>
                </c:pt>
                <c:pt idx="219">
                  <c:v>1</c:v>
                </c:pt>
                <c:pt idx="220">
                  <c:v>0.5</c:v>
                </c:pt>
                <c:pt idx="221">
                  <c:v>0.5</c:v>
                </c:pt>
                <c:pt idx="222">
                  <c:v>2.5</c:v>
                </c:pt>
                <c:pt idx="223">
                  <c:v>0.25</c:v>
                </c:pt>
                <c:pt idx="224">
                  <c:v>0.25</c:v>
                </c:pt>
                <c:pt idx="225">
                  <c:v>0.5</c:v>
                </c:pt>
                <c:pt idx="226">
                  <c:v>0.75</c:v>
                </c:pt>
                <c:pt idx="227">
                  <c:v>0.5</c:v>
                </c:pt>
                <c:pt idx="228">
                  <c:v>3</c:v>
                </c:pt>
                <c:pt idx="229">
                  <c:v>0.3</c:v>
                </c:pt>
                <c:pt idx="230">
                  <c:v>1.5</c:v>
                </c:pt>
                <c:pt idx="231">
                  <c:v>3</c:v>
                </c:pt>
                <c:pt idx="232">
                  <c:v>1</c:v>
                </c:pt>
                <c:pt idx="233">
                  <c:v>0.75</c:v>
                </c:pt>
                <c:pt idx="234">
                  <c:v>1.5</c:v>
                </c:pt>
                <c:pt idx="235">
                  <c:v>2</c:v>
                </c:pt>
                <c:pt idx="236">
                  <c:v>0.25</c:v>
                </c:pt>
                <c:pt idx="237">
                  <c:v>1</c:v>
                </c:pt>
                <c:pt idx="238">
                  <c:v>0.25</c:v>
                </c:pt>
                <c:pt idx="239">
                  <c:v>0.25</c:v>
                </c:pt>
                <c:pt idx="240">
                  <c:v>1</c:v>
                </c:pt>
                <c:pt idx="241">
                  <c:v>1</c:v>
                </c:pt>
                <c:pt idx="242">
                  <c:v>0.5</c:v>
                </c:pt>
                <c:pt idx="243">
                  <c:v>0.25</c:v>
                </c:pt>
                <c:pt idx="244">
                  <c:v>0.3</c:v>
                </c:pt>
                <c:pt idx="245">
                  <c:v>2</c:v>
                </c:pt>
                <c:pt idx="246">
                  <c:v>0.25</c:v>
                </c:pt>
                <c:pt idx="247">
                  <c:v>0.5</c:v>
                </c:pt>
                <c:pt idx="248">
                  <c:v>0.5</c:v>
                </c:pt>
                <c:pt idx="249">
                  <c:v>1.5</c:v>
                </c:pt>
                <c:pt idx="250">
                  <c:v>1</c:v>
                </c:pt>
                <c:pt idx="251">
                  <c:v>1</c:v>
                </c:pt>
                <c:pt idx="252">
                  <c:v>0.75</c:v>
                </c:pt>
                <c:pt idx="253">
                  <c:v>0.5</c:v>
                </c:pt>
                <c:pt idx="254">
                  <c:v>0.25</c:v>
                </c:pt>
                <c:pt idx="255">
                  <c:v>0.75</c:v>
                </c:pt>
                <c:pt idx="256">
                  <c:v>0.3</c:v>
                </c:pt>
                <c:pt idx="257">
                  <c:v>0.5</c:v>
                </c:pt>
                <c:pt idx="258">
                  <c:v>0.5</c:v>
                </c:pt>
                <c:pt idx="259">
                  <c:v>2</c:v>
                </c:pt>
                <c:pt idx="260">
                  <c:v>1</c:v>
                </c:pt>
                <c:pt idx="261">
                  <c:v>0.5</c:v>
                </c:pt>
                <c:pt idx="262">
                  <c:v>0.75</c:v>
                </c:pt>
                <c:pt idx="263">
                  <c:v>1</c:v>
                </c:pt>
                <c:pt idx="264">
                  <c:v>1</c:v>
                </c:pt>
                <c:pt idx="265">
                  <c:v>0.5</c:v>
                </c:pt>
                <c:pt idx="266">
                  <c:v>1</c:v>
                </c:pt>
                <c:pt idx="267">
                  <c:v>0.75</c:v>
                </c:pt>
                <c:pt idx="268">
                  <c:v>0.5</c:v>
                </c:pt>
                <c:pt idx="269">
                  <c:v>1</c:v>
                </c:pt>
                <c:pt idx="270">
                  <c:v>0.75</c:v>
                </c:pt>
                <c:pt idx="271">
                  <c:v>1.5</c:v>
                </c:pt>
                <c:pt idx="272">
                  <c:v>0.5</c:v>
                </c:pt>
                <c:pt idx="273">
                  <c:v>0.5</c:v>
                </c:pt>
                <c:pt idx="274">
                  <c:v>0.5</c:v>
                </c:pt>
                <c:pt idx="275">
                  <c:v>0.3</c:v>
                </c:pt>
                <c:pt idx="276">
                  <c:v>0.5</c:v>
                </c:pt>
                <c:pt idx="277">
                  <c:v>0.25</c:v>
                </c:pt>
                <c:pt idx="278">
                  <c:v>1</c:v>
                </c:pt>
                <c:pt idx="279">
                  <c:v>1</c:v>
                </c:pt>
                <c:pt idx="280">
                  <c:v>0.5</c:v>
                </c:pt>
                <c:pt idx="281">
                  <c:v>0.5</c:v>
                </c:pt>
                <c:pt idx="282">
                  <c:v>0.25</c:v>
                </c:pt>
                <c:pt idx="283">
                  <c:v>1</c:v>
                </c:pt>
                <c:pt idx="284">
                  <c:v>0.5</c:v>
                </c:pt>
                <c:pt idx="285">
                  <c:v>0.25</c:v>
                </c:pt>
                <c:pt idx="286">
                  <c:v>1</c:v>
                </c:pt>
                <c:pt idx="287">
                  <c:v>0.5</c:v>
                </c:pt>
                <c:pt idx="288">
                  <c:v>0.5</c:v>
                </c:pt>
                <c:pt idx="289">
                  <c:v>1</c:v>
                </c:pt>
                <c:pt idx="290">
                  <c:v>1</c:v>
                </c:pt>
                <c:pt idx="291">
                  <c:v>0.25</c:v>
                </c:pt>
                <c:pt idx="292">
                  <c:v>0.5</c:v>
                </c:pt>
                <c:pt idx="293">
                  <c:v>1</c:v>
                </c:pt>
                <c:pt idx="294">
                  <c:v>2</c:v>
                </c:pt>
                <c:pt idx="295">
                  <c:v>1</c:v>
                </c:pt>
                <c:pt idx="296">
                  <c:v>0.75</c:v>
                </c:pt>
                <c:pt idx="297">
                  <c:v>3</c:v>
                </c:pt>
                <c:pt idx="298">
                  <c:v>0.5</c:v>
                </c:pt>
                <c:pt idx="299">
                  <c:v>0.5</c:v>
                </c:pt>
              </c:numCache>
            </c:numRef>
          </c:xVal>
          <c:yVal>
            <c:numRef>
              <c:f>Correlation!$D$2:$D$301</c:f>
              <c:numCache>
                <c:formatCode>General</c:formatCode>
                <c:ptCount val="300"/>
                <c:pt idx="0">
                  <c:v>70</c:v>
                </c:pt>
                <c:pt idx="1">
                  <c:v>50</c:v>
                </c:pt>
                <c:pt idx="2">
                  <c:v>50</c:v>
                </c:pt>
                <c:pt idx="3">
                  <c:v>50</c:v>
                </c:pt>
                <c:pt idx="4">
                  <c:v>45</c:v>
                </c:pt>
                <c:pt idx="5">
                  <c:v>50</c:v>
                </c:pt>
                <c:pt idx="6">
                  <c:v>100</c:v>
                </c:pt>
                <c:pt idx="7">
                  <c:v>50</c:v>
                </c:pt>
                <c:pt idx="8">
                  <c:v>40</c:v>
                </c:pt>
                <c:pt idx="9">
                  <c:v>250</c:v>
                </c:pt>
                <c:pt idx="10">
                  <c:v>50</c:v>
                </c:pt>
                <c:pt idx="11">
                  <c:v>20</c:v>
                </c:pt>
                <c:pt idx="12">
                  <c:v>40</c:v>
                </c:pt>
                <c:pt idx="13">
                  <c:v>250</c:v>
                </c:pt>
                <c:pt idx="14">
                  <c:v>70</c:v>
                </c:pt>
                <c:pt idx="15">
                  <c:v>25</c:v>
                </c:pt>
                <c:pt idx="16">
                  <c:v>20</c:v>
                </c:pt>
                <c:pt idx="17">
                  <c:v>50</c:v>
                </c:pt>
                <c:pt idx="18">
                  <c:v>30</c:v>
                </c:pt>
                <c:pt idx="19">
                  <c:v>50</c:v>
                </c:pt>
                <c:pt idx="20">
                  <c:v>50</c:v>
                </c:pt>
                <c:pt idx="21">
                  <c:v>50</c:v>
                </c:pt>
                <c:pt idx="22">
                  <c:v>20</c:v>
                </c:pt>
                <c:pt idx="23">
                  <c:v>50</c:v>
                </c:pt>
                <c:pt idx="24">
                  <c:v>20</c:v>
                </c:pt>
                <c:pt idx="25">
                  <c:v>150</c:v>
                </c:pt>
                <c:pt idx="26">
                  <c:v>200</c:v>
                </c:pt>
                <c:pt idx="27">
                  <c:v>40</c:v>
                </c:pt>
                <c:pt idx="28">
                  <c:v>200</c:v>
                </c:pt>
                <c:pt idx="29">
                  <c:v>20</c:v>
                </c:pt>
                <c:pt idx="30">
                  <c:v>20</c:v>
                </c:pt>
                <c:pt idx="31">
                  <c:v>150</c:v>
                </c:pt>
                <c:pt idx="32">
                  <c:v>37</c:v>
                </c:pt>
                <c:pt idx="33">
                  <c:v>20</c:v>
                </c:pt>
                <c:pt idx="34">
                  <c:v>30</c:v>
                </c:pt>
                <c:pt idx="35">
                  <c:v>40</c:v>
                </c:pt>
                <c:pt idx="36">
                  <c:v>25</c:v>
                </c:pt>
                <c:pt idx="37">
                  <c:v>300</c:v>
                </c:pt>
                <c:pt idx="38">
                  <c:v>25</c:v>
                </c:pt>
                <c:pt idx="39">
                  <c:v>21</c:v>
                </c:pt>
                <c:pt idx="40">
                  <c:v>20</c:v>
                </c:pt>
                <c:pt idx="41">
                  <c:v>50</c:v>
                </c:pt>
                <c:pt idx="42">
                  <c:v>100</c:v>
                </c:pt>
                <c:pt idx="43">
                  <c:v>50</c:v>
                </c:pt>
                <c:pt idx="44">
                  <c:v>20</c:v>
                </c:pt>
                <c:pt idx="45">
                  <c:v>20</c:v>
                </c:pt>
                <c:pt idx="46">
                  <c:v>24</c:v>
                </c:pt>
                <c:pt idx="47">
                  <c:v>50</c:v>
                </c:pt>
                <c:pt idx="48">
                  <c:v>90</c:v>
                </c:pt>
                <c:pt idx="49">
                  <c:v>50</c:v>
                </c:pt>
                <c:pt idx="50">
                  <c:v>150</c:v>
                </c:pt>
                <c:pt idx="51">
                  <c:v>50</c:v>
                </c:pt>
                <c:pt idx="52">
                  <c:v>50</c:v>
                </c:pt>
                <c:pt idx="53">
                  <c:v>50</c:v>
                </c:pt>
                <c:pt idx="54">
                  <c:v>50</c:v>
                </c:pt>
                <c:pt idx="55">
                  <c:v>25</c:v>
                </c:pt>
                <c:pt idx="56">
                  <c:v>25</c:v>
                </c:pt>
                <c:pt idx="57">
                  <c:v>40</c:v>
                </c:pt>
                <c:pt idx="58">
                  <c:v>30</c:v>
                </c:pt>
                <c:pt idx="59">
                  <c:v>30</c:v>
                </c:pt>
                <c:pt idx="60">
                  <c:v>200</c:v>
                </c:pt>
                <c:pt idx="61">
                  <c:v>50</c:v>
                </c:pt>
                <c:pt idx="62">
                  <c:v>50</c:v>
                </c:pt>
                <c:pt idx="63">
                  <c:v>20</c:v>
                </c:pt>
                <c:pt idx="64">
                  <c:v>40</c:v>
                </c:pt>
                <c:pt idx="65">
                  <c:v>25</c:v>
                </c:pt>
                <c:pt idx="66">
                  <c:v>100</c:v>
                </c:pt>
                <c:pt idx="67">
                  <c:v>50</c:v>
                </c:pt>
                <c:pt idx="68">
                  <c:v>25</c:v>
                </c:pt>
                <c:pt idx="69">
                  <c:v>120</c:v>
                </c:pt>
                <c:pt idx="70">
                  <c:v>50</c:v>
                </c:pt>
                <c:pt idx="71">
                  <c:v>20</c:v>
                </c:pt>
                <c:pt idx="72">
                  <c:v>40</c:v>
                </c:pt>
                <c:pt idx="73">
                  <c:v>20</c:v>
                </c:pt>
                <c:pt idx="74">
                  <c:v>100</c:v>
                </c:pt>
                <c:pt idx="75">
                  <c:v>60</c:v>
                </c:pt>
                <c:pt idx="76">
                  <c:v>50</c:v>
                </c:pt>
                <c:pt idx="77">
                  <c:v>30</c:v>
                </c:pt>
                <c:pt idx="78">
                  <c:v>50</c:v>
                </c:pt>
                <c:pt idx="79">
                  <c:v>50</c:v>
                </c:pt>
                <c:pt idx="80">
                  <c:v>20</c:v>
                </c:pt>
                <c:pt idx="81">
                  <c:v>50</c:v>
                </c:pt>
                <c:pt idx="82">
                  <c:v>50</c:v>
                </c:pt>
                <c:pt idx="83">
                  <c:v>50</c:v>
                </c:pt>
                <c:pt idx="84">
                  <c:v>20</c:v>
                </c:pt>
                <c:pt idx="85">
                  <c:v>25</c:v>
                </c:pt>
                <c:pt idx="86">
                  <c:v>100</c:v>
                </c:pt>
                <c:pt idx="87">
                  <c:v>50</c:v>
                </c:pt>
                <c:pt idx="88">
                  <c:v>50</c:v>
                </c:pt>
                <c:pt idx="89">
                  <c:v>150</c:v>
                </c:pt>
                <c:pt idx="90">
                  <c:v>100</c:v>
                </c:pt>
                <c:pt idx="91">
                  <c:v>30</c:v>
                </c:pt>
                <c:pt idx="92">
                  <c:v>50</c:v>
                </c:pt>
                <c:pt idx="93">
                  <c:v>50</c:v>
                </c:pt>
                <c:pt idx="94">
                  <c:v>20</c:v>
                </c:pt>
                <c:pt idx="95">
                  <c:v>40</c:v>
                </c:pt>
                <c:pt idx="96">
                  <c:v>120</c:v>
                </c:pt>
                <c:pt idx="97">
                  <c:v>50</c:v>
                </c:pt>
                <c:pt idx="98">
                  <c:v>150</c:v>
                </c:pt>
                <c:pt idx="99">
                  <c:v>100</c:v>
                </c:pt>
                <c:pt idx="100">
                  <c:v>25</c:v>
                </c:pt>
                <c:pt idx="101">
                  <c:v>200</c:v>
                </c:pt>
                <c:pt idx="102">
                  <c:v>30</c:v>
                </c:pt>
                <c:pt idx="103">
                  <c:v>50</c:v>
                </c:pt>
                <c:pt idx="104">
                  <c:v>50</c:v>
                </c:pt>
                <c:pt idx="105">
                  <c:v>31</c:v>
                </c:pt>
                <c:pt idx="106">
                  <c:v>50</c:v>
                </c:pt>
                <c:pt idx="107">
                  <c:v>20</c:v>
                </c:pt>
                <c:pt idx="108">
                  <c:v>50</c:v>
                </c:pt>
                <c:pt idx="109">
                  <c:v>100</c:v>
                </c:pt>
                <c:pt idx="110">
                  <c:v>20</c:v>
                </c:pt>
                <c:pt idx="111">
                  <c:v>50</c:v>
                </c:pt>
                <c:pt idx="112">
                  <c:v>40</c:v>
                </c:pt>
                <c:pt idx="113">
                  <c:v>20</c:v>
                </c:pt>
                <c:pt idx="114">
                  <c:v>100</c:v>
                </c:pt>
                <c:pt idx="115">
                  <c:v>25</c:v>
                </c:pt>
                <c:pt idx="116">
                  <c:v>40</c:v>
                </c:pt>
                <c:pt idx="117">
                  <c:v>100</c:v>
                </c:pt>
                <c:pt idx="118">
                  <c:v>25</c:v>
                </c:pt>
                <c:pt idx="119">
                  <c:v>50</c:v>
                </c:pt>
                <c:pt idx="120">
                  <c:v>40</c:v>
                </c:pt>
                <c:pt idx="121">
                  <c:v>20</c:v>
                </c:pt>
                <c:pt idx="122">
                  <c:v>30</c:v>
                </c:pt>
                <c:pt idx="123">
                  <c:v>40</c:v>
                </c:pt>
                <c:pt idx="124">
                  <c:v>30</c:v>
                </c:pt>
                <c:pt idx="125">
                  <c:v>350</c:v>
                </c:pt>
                <c:pt idx="126">
                  <c:v>25</c:v>
                </c:pt>
                <c:pt idx="127">
                  <c:v>50</c:v>
                </c:pt>
                <c:pt idx="128">
                  <c:v>40</c:v>
                </c:pt>
                <c:pt idx="129">
                  <c:v>250</c:v>
                </c:pt>
                <c:pt idx="130">
                  <c:v>40</c:v>
                </c:pt>
                <c:pt idx="131">
                  <c:v>20</c:v>
                </c:pt>
                <c:pt idx="132">
                  <c:v>30</c:v>
                </c:pt>
                <c:pt idx="133">
                  <c:v>50</c:v>
                </c:pt>
                <c:pt idx="134">
                  <c:v>20</c:v>
                </c:pt>
                <c:pt idx="135">
                  <c:v>200</c:v>
                </c:pt>
                <c:pt idx="136">
                  <c:v>150</c:v>
                </c:pt>
                <c:pt idx="137">
                  <c:v>25</c:v>
                </c:pt>
                <c:pt idx="138">
                  <c:v>20</c:v>
                </c:pt>
                <c:pt idx="139">
                  <c:v>50</c:v>
                </c:pt>
                <c:pt idx="140">
                  <c:v>100</c:v>
                </c:pt>
                <c:pt idx="141">
                  <c:v>25</c:v>
                </c:pt>
                <c:pt idx="142">
                  <c:v>40</c:v>
                </c:pt>
                <c:pt idx="143">
                  <c:v>100</c:v>
                </c:pt>
                <c:pt idx="144">
                  <c:v>200</c:v>
                </c:pt>
                <c:pt idx="145">
                  <c:v>50</c:v>
                </c:pt>
                <c:pt idx="146">
                  <c:v>25</c:v>
                </c:pt>
                <c:pt idx="147">
                  <c:v>40</c:v>
                </c:pt>
                <c:pt idx="148">
                  <c:v>20</c:v>
                </c:pt>
                <c:pt idx="149">
                  <c:v>50</c:v>
                </c:pt>
                <c:pt idx="150">
                  <c:v>100</c:v>
                </c:pt>
                <c:pt idx="151">
                  <c:v>50</c:v>
                </c:pt>
                <c:pt idx="152">
                  <c:v>25</c:v>
                </c:pt>
                <c:pt idx="153">
                  <c:v>40</c:v>
                </c:pt>
                <c:pt idx="154">
                  <c:v>100</c:v>
                </c:pt>
                <c:pt idx="155">
                  <c:v>100</c:v>
                </c:pt>
                <c:pt idx="156">
                  <c:v>20</c:v>
                </c:pt>
                <c:pt idx="157">
                  <c:v>50</c:v>
                </c:pt>
                <c:pt idx="158">
                  <c:v>50</c:v>
                </c:pt>
                <c:pt idx="159">
                  <c:v>75</c:v>
                </c:pt>
                <c:pt idx="160">
                  <c:v>20</c:v>
                </c:pt>
                <c:pt idx="161">
                  <c:v>50</c:v>
                </c:pt>
                <c:pt idx="162">
                  <c:v>50</c:v>
                </c:pt>
                <c:pt idx="163">
                  <c:v>50</c:v>
                </c:pt>
                <c:pt idx="164">
                  <c:v>200</c:v>
                </c:pt>
                <c:pt idx="165">
                  <c:v>60</c:v>
                </c:pt>
                <c:pt idx="166">
                  <c:v>100</c:v>
                </c:pt>
                <c:pt idx="167">
                  <c:v>45</c:v>
                </c:pt>
                <c:pt idx="168">
                  <c:v>20</c:v>
                </c:pt>
                <c:pt idx="169">
                  <c:v>50</c:v>
                </c:pt>
                <c:pt idx="170">
                  <c:v>150</c:v>
                </c:pt>
                <c:pt idx="171">
                  <c:v>20</c:v>
                </c:pt>
                <c:pt idx="172">
                  <c:v>90</c:v>
                </c:pt>
                <c:pt idx="173">
                  <c:v>50</c:v>
                </c:pt>
                <c:pt idx="174">
                  <c:v>20</c:v>
                </c:pt>
                <c:pt idx="175">
                  <c:v>20</c:v>
                </c:pt>
                <c:pt idx="176">
                  <c:v>50</c:v>
                </c:pt>
                <c:pt idx="177">
                  <c:v>300</c:v>
                </c:pt>
                <c:pt idx="178">
                  <c:v>20</c:v>
                </c:pt>
                <c:pt idx="179">
                  <c:v>50</c:v>
                </c:pt>
                <c:pt idx="180">
                  <c:v>25</c:v>
                </c:pt>
                <c:pt idx="181">
                  <c:v>30</c:v>
                </c:pt>
                <c:pt idx="182">
                  <c:v>100</c:v>
                </c:pt>
                <c:pt idx="183">
                  <c:v>50</c:v>
                </c:pt>
                <c:pt idx="184">
                  <c:v>50</c:v>
                </c:pt>
                <c:pt idx="185">
                  <c:v>25</c:v>
                </c:pt>
                <c:pt idx="186">
                  <c:v>35</c:v>
                </c:pt>
                <c:pt idx="187">
                  <c:v>50</c:v>
                </c:pt>
                <c:pt idx="188">
                  <c:v>30</c:v>
                </c:pt>
                <c:pt idx="189">
                  <c:v>25</c:v>
                </c:pt>
                <c:pt idx="190">
                  <c:v>40</c:v>
                </c:pt>
                <c:pt idx="191">
                  <c:v>30</c:v>
                </c:pt>
                <c:pt idx="192">
                  <c:v>20</c:v>
                </c:pt>
                <c:pt idx="193">
                  <c:v>25</c:v>
                </c:pt>
                <c:pt idx="194">
                  <c:v>20</c:v>
                </c:pt>
                <c:pt idx="195">
                  <c:v>50</c:v>
                </c:pt>
                <c:pt idx="196">
                  <c:v>100</c:v>
                </c:pt>
                <c:pt idx="197">
                  <c:v>80</c:v>
                </c:pt>
                <c:pt idx="198">
                  <c:v>90</c:v>
                </c:pt>
                <c:pt idx="199">
                  <c:v>20</c:v>
                </c:pt>
                <c:pt idx="200">
                  <c:v>50</c:v>
                </c:pt>
                <c:pt idx="201">
                  <c:v>25</c:v>
                </c:pt>
                <c:pt idx="202">
                  <c:v>100</c:v>
                </c:pt>
                <c:pt idx="203">
                  <c:v>75</c:v>
                </c:pt>
                <c:pt idx="204">
                  <c:v>50</c:v>
                </c:pt>
                <c:pt idx="205">
                  <c:v>150</c:v>
                </c:pt>
                <c:pt idx="206">
                  <c:v>25</c:v>
                </c:pt>
                <c:pt idx="207">
                  <c:v>100</c:v>
                </c:pt>
                <c:pt idx="208">
                  <c:v>40</c:v>
                </c:pt>
                <c:pt idx="209">
                  <c:v>48</c:v>
                </c:pt>
                <c:pt idx="210">
                  <c:v>40</c:v>
                </c:pt>
                <c:pt idx="211">
                  <c:v>120</c:v>
                </c:pt>
                <c:pt idx="212">
                  <c:v>50</c:v>
                </c:pt>
                <c:pt idx="213">
                  <c:v>100</c:v>
                </c:pt>
                <c:pt idx="214">
                  <c:v>50</c:v>
                </c:pt>
                <c:pt idx="215">
                  <c:v>25</c:v>
                </c:pt>
                <c:pt idx="216">
                  <c:v>20</c:v>
                </c:pt>
                <c:pt idx="217">
                  <c:v>30</c:v>
                </c:pt>
                <c:pt idx="218">
                  <c:v>25</c:v>
                </c:pt>
                <c:pt idx="219">
                  <c:v>25</c:v>
                </c:pt>
                <c:pt idx="220">
                  <c:v>50</c:v>
                </c:pt>
                <c:pt idx="221">
                  <c:v>80</c:v>
                </c:pt>
                <c:pt idx="222">
                  <c:v>50</c:v>
                </c:pt>
                <c:pt idx="223">
                  <c:v>25</c:v>
                </c:pt>
                <c:pt idx="224">
                  <c:v>25</c:v>
                </c:pt>
                <c:pt idx="225">
                  <c:v>200</c:v>
                </c:pt>
                <c:pt idx="226">
                  <c:v>25</c:v>
                </c:pt>
                <c:pt idx="227">
                  <c:v>100</c:v>
                </c:pt>
                <c:pt idx="228">
                  <c:v>251</c:v>
                </c:pt>
                <c:pt idx="229">
                  <c:v>20</c:v>
                </c:pt>
                <c:pt idx="230">
                  <c:v>100</c:v>
                </c:pt>
                <c:pt idx="231">
                  <c:v>480</c:v>
                </c:pt>
                <c:pt idx="232">
                  <c:v>20</c:v>
                </c:pt>
                <c:pt idx="233">
                  <c:v>70</c:v>
                </c:pt>
                <c:pt idx="234">
                  <c:v>25</c:v>
                </c:pt>
                <c:pt idx="235">
                  <c:v>100</c:v>
                </c:pt>
                <c:pt idx="236">
                  <c:v>100</c:v>
                </c:pt>
                <c:pt idx="237">
                  <c:v>100</c:v>
                </c:pt>
                <c:pt idx="238">
                  <c:v>150</c:v>
                </c:pt>
                <c:pt idx="239">
                  <c:v>50</c:v>
                </c:pt>
                <c:pt idx="240">
                  <c:v>50</c:v>
                </c:pt>
                <c:pt idx="241">
                  <c:v>50</c:v>
                </c:pt>
                <c:pt idx="242">
                  <c:v>40</c:v>
                </c:pt>
                <c:pt idx="243">
                  <c:v>30</c:v>
                </c:pt>
                <c:pt idx="244">
                  <c:v>50</c:v>
                </c:pt>
                <c:pt idx="245">
                  <c:v>50</c:v>
                </c:pt>
                <c:pt idx="246">
                  <c:v>50</c:v>
                </c:pt>
                <c:pt idx="247">
                  <c:v>25</c:v>
                </c:pt>
                <c:pt idx="248">
                  <c:v>20</c:v>
                </c:pt>
                <c:pt idx="249">
                  <c:v>20</c:v>
                </c:pt>
                <c:pt idx="250">
                  <c:v>50</c:v>
                </c:pt>
                <c:pt idx="251">
                  <c:v>100</c:v>
                </c:pt>
                <c:pt idx="252">
                  <c:v>50</c:v>
                </c:pt>
                <c:pt idx="253">
                  <c:v>20</c:v>
                </c:pt>
                <c:pt idx="254">
                  <c:v>22</c:v>
                </c:pt>
                <c:pt idx="255">
                  <c:v>25</c:v>
                </c:pt>
                <c:pt idx="256">
                  <c:v>50</c:v>
                </c:pt>
                <c:pt idx="257">
                  <c:v>150</c:v>
                </c:pt>
                <c:pt idx="258">
                  <c:v>30</c:v>
                </c:pt>
                <c:pt idx="259">
                  <c:v>100</c:v>
                </c:pt>
                <c:pt idx="260">
                  <c:v>100</c:v>
                </c:pt>
                <c:pt idx="261">
                  <c:v>20</c:v>
                </c:pt>
                <c:pt idx="262">
                  <c:v>200</c:v>
                </c:pt>
                <c:pt idx="263">
                  <c:v>30</c:v>
                </c:pt>
                <c:pt idx="264">
                  <c:v>100</c:v>
                </c:pt>
                <c:pt idx="265">
                  <c:v>20</c:v>
                </c:pt>
                <c:pt idx="266">
                  <c:v>50</c:v>
                </c:pt>
                <c:pt idx="267">
                  <c:v>50</c:v>
                </c:pt>
                <c:pt idx="268">
                  <c:v>20</c:v>
                </c:pt>
                <c:pt idx="269">
                  <c:v>20</c:v>
                </c:pt>
                <c:pt idx="270">
                  <c:v>50</c:v>
                </c:pt>
                <c:pt idx="271">
                  <c:v>50</c:v>
                </c:pt>
                <c:pt idx="272">
                  <c:v>150</c:v>
                </c:pt>
                <c:pt idx="273">
                  <c:v>30</c:v>
                </c:pt>
                <c:pt idx="274">
                  <c:v>25</c:v>
                </c:pt>
                <c:pt idx="275">
                  <c:v>20</c:v>
                </c:pt>
                <c:pt idx="276">
                  <c:v>350</c:v>
                </c:pt>
                <c:pt idx="277">
                  <c:v>40</c:v>
                </c:pt>
                <c:pt idx="278">
                  <c:v>20</c:v>
                </c:pt>
                <c:pt idx="279">
                  <c:v>25</c:v>
                </c:pt>
                <c:pt idx="280">
                  <c:v>70</c:v>
                </c:pt>
                <c:pt idx="281">
                  <c:v>150</c:v>
                </c:pt>
                <c:pt idx="282">
                  <c:v>75</c:v>
                </c:pt>
                <c:pt idx="283">
                  <c:v>20</c:v>
                </c:pt>
                <c:pt idx="284">
                  <c:v>180</c:v>
                </c:pt>
                <c:pt idx="285">
                  <c:v>75</c:v>
                </c:pt>
                <c:pt idx="286">
                  <c:v>25</c:v>
                </c:pt>
                <c:pt idx="287">
                  <c:v>20</c:v>
                </c:pt>
                <c:pt idx="288">
                  <c:v>20</c:v>
                </c:pt>
                <c:pt idx="289">
                  <c:v>20</c:v>
                </c:pt>
                <c:pt idx="290">
                  <c:v>50</c:v>
                </c:pt>
                <c:pt idx="291">
                  <c:v>120</c:v>
                </c:pt>
                <c:pt idx="292">
                  <c:v>70</c:v>
                </c:pt>
                <c:pt idx="293">
                  <c:v>25</c:v>
                </c:pt>
                <c:pt idx="294">
                  <c:v>50</c:v>
                </c:pt>
                <c:pt idx="295">
                  <c:v>100</c:v>
                </c:pt>
                <c:pt idx="296">
                  <c:v>25</c:v>
                </c:pt>
                <c:pt idx="297">
                  <c:v>100</c:v>
                </c:pt>
                <c:pt idx="298">
                  <c:v>25</c:v>
                </c:pt>
                <c:pt idx="299">
                  <c:v>40</c:v>
                </c:pt>
              </c:numCache>
            </c:numRef>
          </c:yVal>
          <c:smooth val="0"/>
          <c:extLst>
            <c:ext xmlns:c16="http://schemas.microsoft.com/office/drawing/2014/chart" uri="{C3380CC4-5D6E-409C-BE32-E72D297353CC}">
              <c16:uniqueId val="{00000000-9CC5-4282-94A4-5BF82C1671F9}"/>
            </c:ext>
          </c:extLst>
        </c:ser>
        <c:dLbls>
          <c:showLegendKey val="0"/>
          <c:showVal val="0"/>
          <c:showCatName val="0"/>
          <c:showSerName val="0"/>
          <c:showPercent val="0"/>
          <c:showBubbleSize val="0"/>
        </c:dLbls>
        <c:axId val="1090680975"/>
        <c:axId val="1090681455"/>
      </c:scatterChart>
      <c:valAx>
        <c:axId val="1090680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Acreage</a:t>
                </a:r>
              </a:p>
            </c:rich>
          </c:tx>
          <c:layout>
            <c:manualLayout>
              <c:xMode val="edge"/>
              <c:yMode val="edge"/>
              <c:x val="0.44536001749781279"/>
              <c:y val="0.874050743657042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681455"/>
        <c:crosses val="autoZero"/>
        <c:crossBetween val="midCat"/>
      </c:valAx>
      <c:valAx>
        <c:axId val="1090681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Fertilizer</a:t>
                </a:r>
              </a:p>
            </c:rich>
          </c:tx>
          <c:layout>
            <c:manualLayout>
              <c:xMode val="edge"/>
              <c:yMode val="edge"/>
              <c:x val="2.7777777777777776E-2"/>
              <c:y val="0.393522528433945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680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 </a:t>
            </a:r>
            <a:r>
              <a:rPr lang="en-US" b="1">
                <a:solidFill>
                  <a:schemeClr val="tx1"/>
                </a:solidFill>
              </a:rPr>
              <a:t>Yield</a:t>
            </a:r>
            <a:r>
              <a:rPr lang="en-US" b="1" baseline="0">
                <a:solidFill>
                  <a:schemeClr val="tx1"/>
                </a:solidFill>
              </a:rPr>
              <a:t> x Household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Correlation!$F$1</c:f>
              <c:strCache>
                <c:ptCount val="1"/>
                <c:pt idx="0">
                  <c:v>Yield</c:v>
                </c:pt>
              </c:strCache>
            </c:strRef>
          </c:tx>
          <c:spPr>
            <a:ln w="38100" cap="rnd">
              <a:noFill/>
              <a:round/>
            </a:ln>
            <a:effectLst/>
          </c:spPr>
          <c:marker>
            <c:symbol val="circle"/>
            <c:size val="5"/>
            <c:spPr>
              <a:solidFill>
                <a:schemeClr val="accent1"/>
              </a:solidFill>
              <a:ln w="9525">
                <a:solidFill>
                  <a:schemeClr val="accent1"/>
                </a:solidFill>
              </a:ln>
              <a:effectLst/>
            </c:spPr>
          </c:marker>
          <c:xVal>
            <c:numRef>
              <c:f>Correlation!$B$2:$B$301</c:f>
              <c:numCache>
                <c:formatCode>General</c:formatCode>
                <c:ptCount val="300"/>
                <c:pt idx="0">
                  <c:v>3</c:v>
                </c:pt>
                <c:pt idx="1">
                  <c:v>5</c:v>
                </c:pt>
                <c:pt idx="2">
                  <c:v>5</c:v>
                </c:pt>
                <c:pt idx="3">
                  <c:v>6</c:v>
                </c:pt>
                <c:pt idx="4">
                  <c:v>6</c:v>
                </c:pt>
                <c:pt idx="5">
                  <c:v>5</c:v>
                </c:pt>
                <c:pt idx="6">
                  <c:v>4</c:v>
                </c:pt>
                <c:pt idx="7">
                  <c:v>5</c:v>
                </c:pt>
                <c:pt idx="8">
                  <c:v>6</c:v>
                </c:pt>
                <c:pt idx="9">
                  <c:v>3</c:v>
                </c:pt>
                <c:pt idx="10">
                  <c:v>4</c:v>
                </c:pt>
                <c:pt idx="11">
                  <c:v>3</c:v>
                </c:pt>
                <c:pt idx="12">
                  <c:v>4</c:v>
                </c:pt>
                <c:pt idx="13">
                  <c:v>8</c:v>
                </c:pt>
                <c:pt idx="14">
                  <c:v>4</c:v>
                </c:pt>
                <c:pt idx="15">
                  <c:v>4</c:v>
                </c:pt>
                <c:pt idx="16">
                  <c:v>5</c:v>
                </c:pt>
                <c:pt idx="17">
                  <c:v>6</c:v>
                </c:pt>
                <c:pt idx="18">
                  <c:v>3</c:v>
                </c:pt>
                <c:pt idx="19">
                  <c:v>3</c:v>
                </c:pt>
                <c:pt idx="20">
                  <c:v>5</c:v>
                </c:pt>
                <c:pt idx="21">
                  <c:v>3</c:v>
                </c:pt>
                <c:pt idx="22">
                  <c:v>5</c:v>
                </c:pt>
                <c:pt idx="23">
                  <c:v>4</c:v>
                </c:pt>
                <c:pt idx="24">
                  <c:v>3</c:v>
                </c:pt>
                <c:pt idx="25">
                  <c:v>3</c:v>
                </c:pt>
                <c:pt idx="26">
                  <c:v>3</c:v>
                </c:pt>
                <c:pt idx="27">
                  <c:v>2</c:v>
                </c:pt>
                <c:pt idx="28">
                  <c:v>3</c:v>
                </c:pt>
                <c:pt idx="29">
                  <c:v>3</c:v>
                </c:pt>
                <c:pt idx="30">
                  <c:v>4</c:v>
                </c:pt>
                <c:pt idx="31">
                  <c:v>2</c:v>
                </c:pt>
                <c:pt idx="32">
                  <c:v>3</c:v>
                </c:pt>
                <c:pt idx="33">
                  <c:v>6</c:v>
                </c:pt>
                <c:pt idx="34">
                  <c:v>5</c:v>
                </c:pt>
                <c:pt idx="35">
                  <c:v>6</c:v>
                </c:pt>
                <c:pt idx="36">
                  <c:v>8</c:v>
                </c:pt>
                <c:pt idx="37">
                  <c:v>4</c:v>
                </c:pt>
                <c:pt idx="38">
                  <c:v>5</c:v>
                </c:pt>
                <c:pt idx="39">
                  <c:v>5</c:v>
                </c:pt>
                <c:pt idx="40">
                  <c:v>6</c:v>
                </c:pt>
                <c:pt idx="41">
                  <c:v>4</c:v>
                </c:pt>
                <c:pt idx="42">
                  <c:v>6</c:v>
                </c:pt>
                <c:pt idx="43">
                  <c:v>3</c:v>
                </c:pt>
                <c:pt idx="44">
                  <c:v>6</c:v>
                </c:pt>
                <c:pt idx="45">
                  <c:v>2</c:v>
                </c:pt>
                <c:pt idx="46">
                  <c:v>7</c:v>
                </c:pt>
                <c:pt idx="47">
                  <c:v>4</c:v>
                </c:pt>
                <c:pt idx="48">
                  <c:v>5</c:v>
                </c:pt>
                <c:pt idx="49">
                  <c:v>4</c:v>
                </c:pt>
                <c:pt idx="50">
                  <c:v>3</c:v>
                </c:pt>
                <c:pt idx="51">
                  <c:v>1</c:v>
                </c:pt>
                <c:pt idx="52">
                  <c:v>6</c:v>
                </c:pt>
                <c:pt idx="53">
                  <c:v>4</c:v>
                </c:pt>
                <c:pt idx="54">
                  <c:v>5</c:v>
                </c:pt>
                <c:pt idx="55">
                  <c:v>8</c:v>
                </c:pt>
                <c:pt idx="56">
                  <c:v>3</c:v>
                </c:pt>
                <c:pt idx="57">
                  <c:v>4</c:v>
                </c:pt>
                <c:pt idx="58">
                  <c:v>4</c:v>
                </c:pt>
                <c:pt idx="59">
                  <c:v>2</c:v>
                </c:pt>
                <c:pt idx="60">
                  <c:v>5</c:v>
                </c:pt>
                <c:pt idx="61">
                  <c:v>4</c:v>
                </c:pt>
                <c:pt idx="62">
                  <c:v>5</c:v>
                </c:pt>
                <c:pt idx="63">
                  <c:v>4</c:v>
                </c:pt>
                <c:pt idx="64">
                  <c:v>2</c:v>
                </c:pt>
                <c:pt idx="65">
                  <c:v>6</c:v>
                </c:pt>
                <c:pt idx="66">
                  <c:v>5</c:v>
                </c:pt>
                <c:pt idx="67">
                  <c:v>2</c:v>
                </c:pt>
                <c:pt idx="68">
                  <c:v>5</c:v>
                </c:pt>
                <c:pt idx="69">
                  <c:v>3</c:v>
                </c:pt>
                <c:pt idx="70">
                  <c:v>9</c:v>
                </c:pt>
                <c:pt idx="71">
                  <c:v>5</c:v>
                </c:pt>
                <c:pt idx="72">
                  <c:v>3</c:v>
                </c:pt>
                <c:pt idx="73">
                  <c:v>4</c:v>
                </c:pt>
                <c:pt idx="74">
                  <c:v>5</c:v>
                </c:pt>
                <c:pt idx="75">
                  <c:v>4</c:v>
                </c:pt>
                <c:pt idx="76">
                  <c:v>4</c:v>
                </c:pt>
                <c:pt idx="77">
                  <c:v>3</c:v>
                </c:pt>
                <c:pt idx="78">
                  <c:v>5</c:v>
                </c:pt>
                <c:pt idx="79">
                  <c:v>2</c:v>
                </c:pt>
                <c:pt idx="80">
                  <c:v>5</c:v>
                </c:pt>
                <c:pt idx="81">
                  <c:v>6</c:v>
                </c:pt>
                <c:pt idx="82">
                  <c:v>5</c:v>
                </c:pt>
                <c:pt idx="83">
                  <c:v>7</c:v>
                </c:pt>
                <c:pt idx="84">
                  <c:v>2</c:v>
                </c:pt>
                <c:pt idx="85">
                  <c:v>6</c:v>
                </c:pt>
                <c:pt idx="86">
                  <c:v>5</c:v>
                </c:pt>
                <c:pt idx="87">
                  <c:v>6</c:v>
                </c:pt>
                <c:pt idx="88">
                  <c:v>2</c:v>
                </c:pt>
                <c:pt idx="89">
                  <c:v>5</c:v>
                </c:pt>
                <c:pt idx="90">
                  <c:v>4</c:v>
                </c:pt>
                <c:pt idx="91">
                  <c:v>6</c:v>
                </c:pt>
                <c:pt idx="92">
                  <c:v>4</c:v>
                </c:pt>
                <c:pt idx="93">
                  <c:v>4</c:v>
                </c:pt>
                <c:pt idx="94">
                  <c:v>2</c:v>
                </c:pt>
                <c:pt idx="95">
                  <c:v>2</c:v>
                </c:pt>
                <c:pt idx="96">
                  <c:v>9</c:v>
                </c:pt>
                <c:pt idx="97">
                  <c:v>1</c:v>
                </c:pt>
                <c:pt idx="98">
                  <c:v>4</c:v>
                </c:pt>
                <c:pt idx="99">
                  <c:v>1</c:v>
                </c:pt>
                <c:pt idx="100">
                  <c:v>4</c:v>
                </c:pt>
                <c:pt idx="101">
                  <c:v>8</c:v>
                </c:pt>
                <c:pt idx="102">
                  <c:v>4</c:v>
                </c:pt>
                <c:pt idx="103">
                  <c:v>2</c:v>
                </c:pt>
                <c:pt idx="104">
                  <c:v>3</c:v>
                </c:pt>
                <c:pt idx="105">
                  <c:v>4</c:v>
                </c:pt>
                <c:pt idx="106">
                  <c:v>2</c:v>
                </c:pt>
                <c:pt idx="107">
                  <c:v>4</c:v>
                </c:pt>
                <c:pt idx="108">
                  <c:v>4</c:v>
                </c:pt>
                <c:pt idx="109">
                  <c:v>4</c:v>
                </c:pt>
                <c:pt idx="110">
                  <c:v>3</c:v>
                </c:pt>
                <c:pt idx="111">
                  <c:v>2</c:v>
                </c:pt>
                <c:pt idx="112">
                  <c:v>3</c:v>
                </c:pt>
                <c:pt idx="113">
                  <c:v>8</c:v>
                </c:pt>
                <c:pt idx="114">
                  <c:v>6</c:v>
                </c:pt>
                <c:pt idx="115">
                  <c:v>2</c:v>
                </c:pt>
                <c:pt idx="116">
                  <c:v>6</c:v>
                </c:pt>
                <c:pt idx="117">
                  <c:v>7</c:v>
                </c:pt>
                <c:pt idx="118">
                  <c:v>2</c:v>
                </c:pt>
                <c:pt idx="119">
                  <c:v>7</c:v>
                </c:pt>
                <c:pt idx="120">
                  <c:v>6</c:v>
                </c:pt>
                <c:pt idx="121">
                  <c:v>2</c:v>
                </c:pt>
                <c:pt idx="122">
                  <c:v>3</c:v>
                </c:pt>
                <c:pt idx="123">
                  <c:v>3</c:v>
                </c:pt>
                <c:pt idx="124">
                  <c:v>1</c:v>
                </c:pt>
                <c:pt idx="125">
                  <c:v>5</c:v>
                </c:pt>
                <c:pt idx="126">
                  <c:v>6</c:v>
                </c:pt>
                <c:pt idx="127">
                  <c:v>5</c:v>
                </c:pt>
                <c:pt idx="128">
                  <c:v>5</c:v>
                </c:pt>
                <c:pt idx="129">
                  <c:v>5</c:v>
                </c:pt>
                <c:pt idx="130">
                  <c:v>7</c:v>
                </c:pt>
                <c:pt idx="131">
                  <c:v>5</c:v>
                </c:pt>
                <c:pt idx="132">
                  <c:v>5</c:v>
                </c:pt>
                <c:pt idx="133">
                  <c:v>5</c:v>
                </c:pt>
                <c:pt idx="134">
                  <c:v>4</c:v>
                </c:pt>
                <c:pt idx="135">
                  <c:v>6</c:v>
                </c:pt>
                <c:pt idx="136">
                  <c:v>5</c:v>
                </c:pt>
                <c:pt idx="137">
                  <c:v>2</c:v>
                </c:pt>
                <c:pt idx="138">
                  <c:v>2</c:v>
                </c:pt>
                <c:pt idx="139">
                  <c:v>3</c:v>
                </c:pt>
                <c:pt idx="140">
                  <c:v>6</c:v>
                </c:pt>
                <c:pt idx="141">
                  <c:v>7</c:v>
                </c:pt>
                <c:pt idx="142">
                  <c:v>3</c:v>
                </c:pt>
                <c:pt idx="143">
                  <c:v>2</c:v>
                </c:pt>
                <c:pt idx="144">
                  <c:v>6</c:v>
                </c:pt>
                <c:pt idx="145">
                  <c:v>5</c:v>
                </c:pt>
                <c:pt idx="146">
                  <c:v>4</c:v>
                </c:pt>
                <c:pt idx="147">
                  <c:v>4</c:v>
                </c:pt>
                <c:pt idx="148">
                  <c:v>4</c:v>
                </c:pt>
                <c:pt idx="149">
                  <c:v>2</c:v>
                </c:pt>
                <c:pt idx="150">
                  <c:v>3</c:v>
                </c:pt>
                <c:pt idx="151">
                  <c:v>6</c:v>
                </c:pt>
                <c:pt idx="152">
                  <c:v>5</c:v>
                </c:pt>
                <c:pt idx="153">
                  <c:v>5</c:v>
                </c:pt>
                <c:pt idx="154">
                  <c:v>4</c:v>
                </c:pt>
                <c:pt idx="155">
                  <c:v>6</c:v>
                </c:pt>
                <c:pt idx="156">
                  <c:v>4</c:v>
                </c:pt>
                <c:pt idx="157">
                  <c:v>5</c:v>
                </c:pt>
                <c:pt idx="158">
                  <c:v>6</c:v>
                </c:pt>
                <c:pt idx="159">
                  <c:v>6</c:v>
                </c:pt>
                <c:pt idx="160">
                  <c:v>6</c:v>
                </c:pt>
                <c:pt idx="161">
                  <c:v>5</c:v>
                </c:pt>
                <c:pt idx="162">
                  <c:v>5</c:v>
                </c:pt>
                <c:pt idx="163">
                  <c:v>6</c:v>
                </c:pt>
                <c:pt idx="164">
                  <c:v>1</c:v>
                </c:pt>
                <c:pt idx="165">
                  <c:v>4</c:v>
                </c:pt>
                <c:pt idx="166">
                  <c:v>4</c:v>
                </c:pt>
                <c:pt idx="167">
                  <c:v>7</c:v>
                </c:pt>
                <c:pt idx="168">
                  <c:v>2</c:v>
                </c:pt>
                <c:pt idx="169">
                  <c:v>3</c:v>
                </c:pt>
                <c:pt idx="170">
                  <c:v>4</c:v>
                </c:pt>
                <c:pt idx="171">
                  <c:v>1</c:v>
                </c:pt>
                <c:pt idx="172">
                  <c:v>1</c:v>
                </c:pt>
                <c:pt idx="173">
                  <c:v>4</c:v>
                </c:pt>
                <c:pt idx="174">
                  <c:v>6</c:v>
                </c:pt>
                <c:pt idx="175">
                  <c:v>2</c:v>
                </c:pt>
                <c:pt idx="176">
                  <c:v>4</c:v>
                </c:pt>
                <c:pt idx="177">
                  <c:v>7</c:v>
                </c:pt>
                <c:pt idx="178">
                  <c:v>5</c:v>
                </c:pt>
                <c:pt idx="179">
                  <c:v>6</c:v>
                </c:pt>
                <c:pt idx="180">
                  <c:v>2</c:v>
                </c:pt>
                <c:pt idx="181">
                  <c:v>5</c:v>
                </c:pt>
                <c:pt idx="182">
                  <c:v>4</c:v>
                </c:pt>
                <c:pt idx="183">
                  <c:v>6</c:v>
                </c:pt>
                <c:pt idx="184">
                  <c:v>3</c:v>
                </c:pt>
                <c:pt idx="185">
                  <c:v>5</c:v>
                </c:pt>
                <c:pt idx="186">
                  <c:v>5</c:v>
                </c:pt>
                <c:pt idx="187">
                  <c:v>7</c:v>
                </c:pt>
                <c:pt idx="188">
                  <c:v>6</c:v>
                </c:pt>
                <c:pt idx="189">
                  <c:v>6</c:v>
                </c:pt>
                <c:pt idx="190">
                  <c:v>2</c:v>
                </c:pt>
                <c:pt idx="191">
                  <c:v>6</c:v>
                </c:pt>
                <c:pt idx="192">
                  <c:v>3</c:v>
                </c:pt>
                <c:pt idx="193">
                  <c:v>5</c:v>
                </c:pt>
                <c:pt idx="194">
                  <c:v>8</c:v>
                </c:pt>
                <c:pt idx="195">
                  <c:v>4</c:v>
                </c:pt>
                <c:pt idx="196">
                  <c:v>7</c:v>
                </c:pt>
                <c:pt idx="197">
                  <c:v>6</c:v>
                </c:pt>
                <c:pt idx="198">
                  <c:v>6</c:v>
                </c:pt>
                <c:pt idx="199">
                  <c:v>6</c:v>
                </c:pt>
                <c:pt idx="200">
                  <c:v>1</c:v>
                </c:pt>
                <c:pt idx="201">
                  <c:v>5</c:v>
                </c:pt>
                <c:pt idx="202">
                  <c:v>5</c:v>
                </c:pt>
                <c:pt idx="203">
                  <c:v>5</c:v>
                </c:pt>
                <c:pt idx="204">
                  <c:v>7</c:v>
                </c:pt>
                <c:pt idx="205">
                  <c:v>6</c:v>
                </c:pt>
                <c:pt idx="206">
                  <c:v>2</c:v>
                </c:pt>
                <c:pt idx="207">
                  <c:v>3</c:v>
                </c:pt>
                <c:pt idx="208">
                  <c:v>4</c:v>
                </c:pt>
                <c:pt idx="209">
                  <c:v>1</c:v>
                </c:pt>
                <c:pt idx="210">
                  <c:v>4</c:v>
                </c:pt>
                <c:pt idx="211">
                  <c:v>5</c:v>
                </c:pt>
                <c:pt idx="212">
                  <c:v>3</c:v>
                </c:pt>
                <c:pt idx="213">
                  <c:v>6</c:v>
                </c:pt>
                <c:pt idx="214">
                  <c:v>6</c:v>
                </c:pt>
                <c:pt idx="215">
                  <c:v>5</c:v>
                </c:pt>
                <c:pt idx="216">
                  <c:v>5</c:v>
                </c:pt>
                <c:pt idx="217">
                  <c:v>4</c:v>
                </c:pt>
                <c:pt idx="218">
                  <c:v>3</c:v>
                </c:pt>
                <c:pt idx="219">
                  <c:v>4</c:v>
                </c:pt>
                <c:pt idx="220">
                  <c:v>5</c:v>
                </c:pt>
                <c:pt idx="221">
                  <c:v>4</c:v>
                </c:pt>
                <c:pt idx="222">
                  <c:v>4</c:v>
                </c:pt>
                <c:pt idx="223">
                  <c:v>5</c:v>
                </c:pt>
                <c:pt idx="224">
                  <c:v>5</c:v>
                </c:pt>
                <c:pt idx="225">
                  <c:v>9</c:v>
                </c:pt>
                <c:pt idx="226">
                  <c:v>4</c:v>
                </c:pt>
                <c:pt idx="227">
                  <c:v>3</c:v>
                </c:pt>
                <c:pt idx="228">
                  <c:v>7</c:v>
                </c:pt>
                <c:pt idx="229">
                  <c:v>5</c:v>
                </c:pt>
                <c:pt idx="230">
                  <c:v>6</c:v>
                </c:pt>
                <c:pt idx="231">
                  <c:v>3</c:v>
                </c:pt>
                <c:pt idx="232">
                  <c:v>4</c:v>
                </c:pt>
                <c:pt idx="233">
                  <c:v>6</c:v>
                </c:pt>
                <c:pt idx="234">
                  <c:v>5</c:v>
                </c:pt>
                <c:pt idx="235">
                  <c:v>3</c:v>
                </c:pt>
                <c:pt idx="236">
                  <c:v>6</c:v>
                </c:pt>
                <c:pt idx="237">
                  <c:v>3</c:v>
                </c:pt>
                <c:pt idx="238">
                  <c:v>5</c:v>
                </c:pt>
                <c:pt idx="239">
                  <c:v>6</c:v>
                </c:pt>
                <c:pt idx="240">
                  <c:v>5</c:v>
                </c:pt>
                <c:pt idx="241">
                  <c:v>2</c:v>
                </c:pt>
                <c:pt idx="242">
                  <c:v>3</c:v>
                </c:pt>
                <c:pt idx="243">
                  <c:v>1</c:v>
                </c:pt>
                <c:pt idx="244">
                  <c:v>6</c:v>
                </c:pt>
                <c:pt idx="245">
                  <c:v>2</c:v>
                </c:pt>
                <c:pt idx="246">
                  <c:v>6</c:v>
                </c:pt>
                <c:pt idx="247">
                  <c:v>3</c:v>
                </c:pt>
                <c:pt idx="248">
                  <c:v>2</c:v>
                </c:pt>
                <c:pt idx="249">
                  <c:v>1</c:v>
                </c:pt>
                <c:pt idx="250">
                  <c:v>3</c:v>
                </c:pt>
                <c:pt idx="251">
                  <c:v>3</c:v>
                </c:pt>
                <c:pt idx="252">
                  <c:v>3</c:v>
                </c:pt>
                <c:pt idx="253">
                  <c:v>6</c:v>
                </c:pt>
                <c:pt idx="254">
                  <c:v>4</c:v>
                </c:pt>
                <c:pt idx="255">
                  <c:v>7</c:v>
                </c:pt>
                <c:pt idx="256">
                  <c:v>4</c:v>
                </c:pt>
                <c:pt idx="257">
                  <c:v>5</c:v>
                </c:pt>
                <c:pt idx="258">
                  <c:v>3</c:v>
                </c:pt>
                <c:pt idx="259">
                  <c:v>5</c:v>
                </c:pt>
                <c:pt idx="260">
                  <c:v>3</c:v>
                </c:pt>
                <c:pt idx="261">
                  <c:v>6</c:v>
                </c:pt>
                <c:pt idx="262">
                  <c:v>6</c:v>
                </c:pt>
                <c:pt idx="263">
                  <c:v>6</c:v>
                </c:pt>
                <c:pt idx="264">
                  <c:v>1</c:v>
                </c:pt>
                <c:pt idx="265">
                  <c:v>6</c:v>
                </c:pt>
                <c:pt idx="266">
                  <c:v>5</c:v>
                </c:pt>
                <c:pt idx="267">
                  <c:v>4</c:v>
                </c:pt>
                <c:pt idx="268">
                  <c:v>1</c:v>
                </c:pt>
                <c:pt idx="269">
                  <c:v>6</c:v>
                </c:pt>
                <c:pt idx="270">
                  <c:v>3</c:v>
                </c:pt>
                <c:pt idx="271">
                  <c:v>3</c:v>
                </c:pt>
                <c:pt idx="272">
                  <c:v>4</c:v>
                </c:pt>
                <c:pt idx="273">
                  <c:v>2</c:v>
                </c:pt>
                <c:pt idx="274">
                  <c:v>3</c:v>
                </c:pt>
                <c:pt idx="275">
                  <c:v>1</c:v>
                </c:pt>
                <c:pt idx="276">
                  <c:v>4</c:v>
                </c:pt>
                <c:pt idx="277">
                  <c:v>4</c:v>
                </c:pt>
                <c:pt idx="278">
                  <c:v>5</c:v>
                </c:pt>
                <c:pt idx="279">
                  <c:v>6</c:v>
                </c:pt>
                <c:pt idx="280">
                  <c:v>5</c:v>
                </c:pt>
                <c:pt idx="281">
                  <c:v>5</c:v>
                </c:pt>
                <c:pt idx="282">
                  <c:v>5</c:v>
                </c:pt>
                <c:pt idx="283">
                  <c:v>5</c:v>
                </c:pt>
                <c:pt idx="284">
                  <c:v>6</c:v>
                </c:pt>
                <c:pt idx="285">
                  <c:v>5</c:v>
                </c:pt>
                <c:pt idx="286">
                  <c:v>3</c:v>
                </c:pt>
                <c:pt idx="287">
                  <c:v>6</c:v>
                </c:pt>
                <c:pt idx="288">
                  <c:v>3</c:v>
                </c:pt>
                <c:pt idx="289">
                  <c:v>6</c:v>
                </c:pt>
                <c:pt idx="290">
                  <c:v>2</c:v>
                </c:pt>
                <c:pt idx="291">
                  <c:v>1</c:v>
                </c:pt>
                <c:pt idx="292">
                  <c:v>6</c:v>
                </c:pt>
                <c:pt idx="293">
                  <c:v>6</c:v>
                </c:pt>
                <c:pt idx="294">
                  <c:v>4</c:v>
                </c:pt>
                <c:pt idx="295">
                  <c:v>2</c:v>
                </c:pt>
                <c:pt idx="296">
                  <c:v>6</c:v>
                </c:pt>
                <c:pt idx="297">
                  <c:v>1</c:v>
                </c:pt>
                <c:pt idx="298">
                  <c:v>3</c:v>
                </c:pt>
                <c:pt idx="299">
                  <c:v>6</c:v>
                </c:pt>
              </c:numCache>
            </c:numRef>
          </c:xVal>
          <c:yVal>
            <c:numRef>
              <c:f>Correlation!$F$2:$F$301</c:f>
              <c:numCache>
                <c:formatCode>General</c:formatCode>
                <c:ptCount val="300"/>
                <c:pt idx="0">
                  <c:v>100</c:v>
                </c:pt>
                <c:pt idx="1">
                  <c:v>100</c:v>
                </c:pt>
                <c:pt idx="2">
                  <c:v>450</c:v>
                </c:pt>
                <c:pt idx="3">
                  <c:v>360</c:v>
                </c:pt>
                <c:pt idx="4">
                  <c:v>135</c:v>
                </c:pt>
                <c:pt idx="5">
                  <c:v>550</c:v>
                </c:pt>
                <c:pt idx="6">
                  <c:v>360</c:v>
                </c:pt>
                <c:pt idx="7">
                  <c:v>270</c:v>
                </c:pt>
                <c:pt idx="8">
                  <c:v>90</c:v>
                </c:pt>
                <c:pt idx="9">
                  <c:v>100</c:v>
                </c:pt>
                <c:pt idx="10">
                  <c:v>360</c:v>
                </c:pt>
                <c:pt idx="11">
                  <c:v>270</c:v>
                </c:pt>
                <c:pt idx="12">
                  <c:v>90</c:v>
                </c:pt>
                <c:pt idx="13">
                  <c:v>90</c:v>
                </c:pt>
                <c:pt idx="14">
                  <c:v>180</c:v>
                </c:pt>
                <c:pt idx="15">
                  <c:v>150</c:v>
                </c:pt>
                <c:pt idx="16">
                  <c:v>100</c:v>
                </c:pt>
                <c:pt idx="17">
                  <c:v>270</c:v>
                </c:pt>
                <c:pt idx="18">
                  <c:v>180</c:v>
                </c:pt>
                <c:pt idx="19">
                  <c:v>240</c:v>
                </c:pt>
                <c:pt idx="20">
                  <c:v>270</c:v>
                </c:pt>
                <c:pt idx="21">
                  <c:v>270</c:v>
                </c:pt>
                <c:pt idx="22">
                  <c:v>360</c:v>
                </c:pt>
                <c:pt idx="23">
                  <c:v>150</c:v>
                </c:pt>
                <c:pt idx="24">
                  <c:v>180</c:v>
                </c:pt>
                <c:pt idx="25">
                  <c:v>150</c:v>
                </c:pt>
                <c:pt idx="26">
                  <c:v>180</c:v>
                </c:pt>
                <c:pt idx="27">
                  <c:v>90</c:v>
                </c:pt>
                <c:pt idx="28">
                  <c:v>180</c:v>
                </c:pt>
                <c:pt idx="29">
                  <c:v>90</c:v>
                </c:pt>
                <c:pt idx="30">
                  <c:v>270</c:v>
                </c:pt>
                <c:pt idx="31">
                  <c:v>550</c:v>
                </c:pt>
                <c:pt idx="32">
                  <c:v>80</c:v>
                </c:pt>
                <c:pt idx="33">
                  <c:v>540</c:v>
                </c:pt>
                <c:pt idx="34">
                  <c:v>250</c:v>
                </c:pt>
                <c:pt idx="35">
                  <c:v>90</c:v>
                </c:pt>
                <c:pt idx="36">
                  <c:v>70</c:v>
                </c:pt>
                <c:pt idx="37">
                  <c:v>300</c:v>
                </c:pt>
                <c:pt idx="38">
                  <c:v>60</c:v>
                </c:pt>
                <c:pt idx="39">
                  <c:v>270</c:v>
                </c:pt>
                <c:pt idx="40">
                  <c:v>180</c:v>
                </c:pt>
                <c:pt idx="41">
                  <c:v>270</c:v>
                </c:pt>
                <c:pt idx="42">
                  <c:v>450</c:v>
                </c:pt>
                <c:pt idx="43">
                  <c:v>180</c:v>
                </c:pt>
                <c:pt idx="44">
                  <c:v>200</c:v>
                </c:pt>
                <c:pt idx="45">
                  <c:v>100</c:v>
                </c:pt>
                <c:pt idx="46">
                  <c:v>50</c:v>
                </c:pt>
                <c:pt idx="47">
                  <c:v>90</c:v>
                </c:pt>
                <c:pt idx="48">
                  <c:v>180</c:v>
                </c:pt>
                <c:pt idx="49">
                  <c:v>270</c:v>
                </c:pt>
                <c:pt idx="50">
                  <c:v>330</c:v>
                </c:pt>
                <c:pt idx="51">
                  <c:v>180</c:v>
                </c:pt>
                <c:pt idx="52">
                  <c:v>360</c:v>
                </c:pt>
                <c:pt idx="53">
                  <c:v>100</c:v>
                </c:pt>
                <c:pt idx="54">
                  <c:v>180</c:v>
                </c:pt>
                <c:pt idx="55">
                  <c:v>450</c:v>
                </c:pt>
                <c:pt idx="56">
                  <c:v>180</c:v>
                </c:pt>
                <c:pt idx="57">
                  <c:v>440</c:v>
                </c:pt>
                <c:pt idx="58">
                  <c:v>360</c:v>
                </c:pt>
                <c:pt idx="59">
                  <c:v>180</c:v>
                </c:pt>
                <c:pt idx="60">
                  <c:v>135</c:v>
                </c:pt>
                <c:pt idx="61">
                  <c:v>360</c:v>
                </c:pt>
                <c:pt idx="62">
                  <c:v>90</c:v>
                </c:pt>
                <c:pt idx="63">
                  <c:v>180</c:v>
                </c:pt>
                <c:pt idx="64">
                  <c:v>400</c:v>
                </c:pt>
                <c:pt idx="65">
                  <c:v>100</c:v>
                </c:pt>
                <c:pt idx="66">
                  <c:v>360</c:v>
                </c:pt>
                <c:pt idx="67">
                  <c:v>180</c:v>
                </c:pt>
                <c:pt idx="68">
                  <c:v>360</c:v>
                </c:pt>
                <c:pt idx="69">
                  <c:v>270</c:v>
                </c:pt>
                <c:pt idx="70">
                  <c:v>270</c:v>
                </c:pt>
                <c:pt idx="71">
                  <c:v>360</c:v>
                </c:pt>
                <c:pt idx="72">
                  <c:v>115</c:v>
                </c:pt>
                <c:pt idx="73">
                  <c:v>180</c:v>
                </c:pt>
                <c:pt idx="74">
                  <c:v>180</c:v>
                </c:pt>
                <c:pt idx="75">
                  <c:v>540</c:v>
                </c:pt>
                <c:pt idx="76">
                  <c:v>150</c:v>
                </c:pt>
                <c:pt idx="77">
                  <c:v>200</c:v>
                </c:pt>
                <c:pt idx="78">
                  <c:v>270</c:v>
                </c:pt>
                <c:pt idx="79">
                  <c:v>200</c:v>
                </c:pt>
                <c:pt idx="80">
                  <c:v>180</c:v>
                </c:pt>
                <c:pt idx="81">
                  <c:v>270</c:v>
                </c:pt>
                <c:pt idx="82">
                  <c:v>150</c:v>
                </c:pt>
                <c:pt idx="83">
                  <c:v>90</c:v>
                </c:pt>
                <c:pt idx="84">
                  <c:v>135</c:v>
                </c:pt>
                <c:pt idx="85">
                  <c:v>90</c:v>
                </c:pt>
                <c:pt idx="86">
                  <c:v>500</c:v>
                </c:pt>
                <c:pt idx="87">
                  <c:v>270</c:v>
                </c:pt>
                <c:pt idx="88">
                  <c:v>180</c:v>
                </c:pt>
                <c:pt idx="89">
                  <c:v>550</c:v>
                </c:pt>
                <c:pt idx="90">
                  <c:v>90</c:v>
                </c:pt>
                <c:pt idx="91">
                  <c:v>450</c:v>
                </c:pt>
                <c:pt idx="92">
                  <c:v>360</c:v>
                </c:pt>
                <c:pt idx="93">
                  <c:v>540</c:v>
                </c:pt>
                <c:pt idx="94">
                  <c:v>100</c:v>
                </c:pt>
                <c:pt idx="95">
                  <c:v>560</c:v>
                </c:pt>
                <c:pt idx="96">
                  <c:v>200</c:v>
                </c:pt>
                <c:pt idx="97">
                  <c:v>360</c:v>
                </c:pt>
                <c:pt idx="98">
                  <c:v>360</c:v>
                </c:pt>
                <c:pt idx="99">
                  <c:v>450</c:v>
                </c:pt>
                <c:pt idx="100">
                  <c:v>50</c:v>
                </c:pt>
                <c:pt idx="101">
                  <c:v>100</c:v>
                </c:pt>
                <c:pt idx="102">
                  <c:v>90</c:v>
                </c:pt>
                <c:pt idx="103">
                  <c:v>90</c:v>
                </c:pt>
                <c:pt idx="104">
                  <c:v>95</c:v>
                </c:pt>
                <c:pt idx="105">
                  <c:v>50</c:v>
                </c:pt>
                <c:pt idx="106">
                  <c:v>180</c:v>
                </c:pt>
                <c:pt idx="107">
                  <c:v>360</c:v>
                </c:pt>
                <c:pt idx="108">
                  <c:v>50</c:v>
                </c:pt>
                <c:pt idx="109">
                  <c:v>180</c:v>
                </c:pt>
                <c:pt idx="110">
                  <c:v>50</c:v>
                </c:pt>
                <c:pt idx="111">
                  <c:v>330</c:v>
                </c:pt>
                <c:pt idx="112">
                  <c:v>150</c:v>
                </c:pt>
                <c:pt idx="113">
                  <c:v>540</c:v>
                </c:pt>
                <c:pt idx="114">
                  <c:v>150</c:v>
                </c:pt>
                <c:pt idx="115">
                  <c:v>100</c:v>
                </c:pt>
                <c:pt idx="116">
                  <c:v>220</c:v>
                </c:pt>
                <c:pt idx="117">
                  <c:v>330</c:v>
                </c:pt>
                <c:pt idx="118">
                  <c:v>180</c:v>
                </c:pt>
                <c:pt idx="119">
                  <c:v>200</c:v>
                </c:pt>
                <c:pt idx="120">
                  <c:v>100</c:v>
                </c:pt>
                <c:pt idx="121">
                  <c:v>90</c:v>
                </c:pt>
                <c:pt idx="122">
                  <c:v>250</c:v>
                </c:pt>
                <c:pt idx="123">
                  <c:v>70</c:v>
                </c:pt>
                <c:pt idx="124">
                  <c:v>100</c:v>
                </c:pt>
                <c:pt idx="125">
                  <c:v>270</c:v>
                </c:pt>
                <c:pt idx="126">
                  <c:v>270</c:v>
                </c:pt>
                <c:pt idx="127">
                  <c:v>300</c:v>
                </c:pt>
                <c:pt idx="128">
                  <c:v>540</c:v>
                </c:pt>
                <c:pt idx="129">
                  <c:v>100</c:v>
                </c:pt>
                <c:pt idx="130">
                  <c:v>540</c:v>
                </c:pt>
                <c:pt idx="131">
                  <c:v>135</c:v>
                </c:pt>
                <c:pt idx="132">
                  <c:v>360</c:v>
                </c:pt>
                <c:pt idx="133">
                  <c:v>50</c:v>
                </c:pt>
                <c:pt idx="134">
                  <c:v>450</c:v>
                </c:pt>
                <c:pt idx="135">
                  <c:v>180</c:v>
                </c:pt>
                <c:pt idx="136">
                  <c:v>360</c:v>
                </c:pt>
                <c:pt idx="137">
                  <c:v>360</c:v>
                </c:pt>
                <c:pt idx="138">
                  <c:v>360</c:v>
                </c:pt>
                <c:pt idx="139">
                  <c:v>200</c:v>
                </c:pt>
                <c:pt idx="140">
                  <c:v>75</c:v>
                </c:pt>
                <c:pt idx="141">
                  <c:v>150</c:v>
                </c:pt>
                <c:pt idx="142">
                  <c:v>80</c:v>
                </c:pt>
                <c:pt idx="143">
                  <c:v>270</c:v>
                </c:pt>
                <c:pt idx="144">
                  <c:v>450</c:v>
                </c:pt>
                <c:pt idx="145">
                  <c:v>180</c:v>
                </c:pt>
                <c:pt idx="146">
                  <c:v>540</c:v>
                </c:pt>
                <c:pt idx="147">
                  <c:v>180</c:v>
                </c:pt>
                <c:pt idx="148">
                  <c:v>360</c:v>
                </c:pt>
                <c:pt idx="149">
                  <c:v>180</c:v>
                </c:pt>
                <c:pt idx="150">
                  <c:v>200</c:v>
                </c:pt>
                <c:pt idx="151">
                  <c:v>360</c:v>
                </c:pt>
                <c:pt idx="152">
                  <c:v>450</c:v>
                </c:pt>
                <c:pt idx="153">
                  <c:v>150</c:v>
                </c:pt>
                <c:pt idx="154">
                  <c:v>330</c:v>
                </c:pt>
                <c:pt idx="155">
                  <c:v>540</c:v>
                </c:pt>
                <c:pt idx="156">
                  <c:v>500</c:v>
                </c:pt>
                <c:pt idx="157">
                  <c:v>270</c:v>
                </c:pt>
                <c:pt idx="158">
                  <c:v>450</c:v>
                </c:pt>
                <c:pt idx="159">
                  <c:v>150</c:v>
                </c:pt>
                <c:pt idx="160">
                  <c:v>180</c:v>
                </c:pt>
                <c:pt idx="161">
                  <c:v>400</c:v>
                </c:pt>
                <c:pt idx="162">
                  <c:v>90</c:v>
                </c:pt>
                <c:pt idx="163">
                  <c:v>360</c:v>
                </c:pt>
                <c:pt idx="164">
                  <c:v>180</c:v>
                </c:pt>
                <c:pt idx="165">
                  <c:v>540</c:v>
                </c:pt>
                <c:pt idx="166">
                  <c:v>450</c:v>
                </c:pt>
                <c:pt idx="167">
                  <c:v>270</c:v>
                </c:pt>
                <c:pt idx="168">
                  <c:v>50</c:v>
                </c:pt>
                <c:pt idx="169">
                  <c:v>50</c:v>
                </c:pt>
                <c:pt idx="170">
                  <c:v>180</c:v>
                </c:pt>
                <c:pt idx="171">
                  <c:v>50</c:v>
                </c:pt>
                <c:pt idx="172">
                  <c:v>90</c:v>
                </c:pt>
                <c:pt idx="173">
                  <c:v>450</c:v>
                </c:pt>
                <c:pt idx="174">
                  <c:v>450</c:v>
                </c:pt>
                <c:pt idx="175">
                  <c:v>100</c:v>
                </c:pt>
                <c:pt idx="176">
                  <c:v>180</c:v>
                </c:pt>
                <c:pt idx="177">
                  <c:v>200</c:v>
                </c:pt>
                <c:pt idx="178">
                  <c:v>180</c:v>
                </c:pt>
                <c:pt idx="179">
                  <c:v>110</c:v>
                </c:pt>
                <c:pt idx="180">
                  <c:v>200</c:v>
                </c:pt>
                <c:pt idx="181">
                  <c:v>180</c:v>
                </c:pt>
                <c:pt idx="182">
                  <c:v>250</c:v>
                </c:pt>
                <c:pt idx="183">
                  <c:v>150</c:v>
                </c:pt>
                <c:pt idx="184">
                  <c:v>330</c:v>
                </c:pt>
                <c:pt idx="185">
                  <c:v>100</c:v>
                </c:pt>
                <c:pt idx="186">
                  <c:v>80</c:v>
                </c:pt>
                <c:pt idx="187">
                  <c:v>300</c:v>
                </c:pt>
                <c:pt idx="188">
                  <c:v>50</c:v>
                </c:pt>
                <c:pt idx="189">
                  <c:v>180</c:v>
                </c:pt>
                <c:pt idx="190">
                  <c:v>150</c:v>
                </c:pt>
                <c:pt idx="191">
                  <c:v>500</c:v>
                </c:pt>
                <c:pt idx="192">
                  <c:v>90</c:v>
                </c:pt>
                <c:pt idx="193">
                  <c:v>100</c:v>
                </c:pt>
                <c:pt idx="194">
                  <c:v>360</c:v>
                </c:pt>
                <c:pt idx="195">
                  <c:v>250</c:v>
                </c:pt>
                <c:pt idx="196">
                  <c:v>180</c:v>
                </c:pt>
                <c:pt idx="197">
                  <c:v>200</c:v>
                </c:pt>
                <c:pt idx="198">
                  <c:v>360</c:v>
                </c:pt>
                <c:pt idx="199">
                  <c:v>360</c:v>
                </c:pt>
                <c:pt idx="200">
                  <c:v>90</c:v>
                </c:pt>
                <c:pt idx="201">
                  <c:v>50</c:v>
                </c:pt>
                <c:pt idx="202">
                  <c:v>180</c:v>
                </c:pt>
                <c:pt idx="203">
                  <c:v>360</c:v>
                </c:pt>
                <c:pt idx="204">
                  <c:v>270</c:v>
                </c:pt>
                <c:pt idx="205">
                  <c:v>100</c:v>
                </c:pt>
                <c:pt idx="206">
                  <c:v>450</c:v>
                </c:pt>
                <c:pt idx="207">
                  <c:v>180</c:v>
                </c:pt>
                <c:pt idx="208">
                  <c:v>270</c:v>
                </c:pt>
                <c:pt idx="209">
                  <c:v>75</c:v>
                </c:pt>
                <c:pt idx="210">
                  <c:v>180</c:v>
                </c:pt>
                <c:pt idx="211">
                  <c:v>180</c:v>
                </c:pt>
                <c:pt idx="212">
                  <c:v>180</c:v>
                </c:pt>
                <c:pt idx="213">
                  <c:v>220</c:v>
                </c:pt>
                <c:pt idx="214">
                  <c:v>270</c:v>
                </c:pt>
                <c:pt idx="215">
                  <c:v>360</c:v>
                </c:pt>
                <c:pt idx="216">
                  <c:v>270</c:v>
                </c:pt>
                <c:pt idx="217">
                  <c:v>90</c:v>
                </c:pt>
                <c:pt idx="218">
                  <c:v>180</c:v>
                </c:pt>
                <c:pt idx="219">
                  <c:v>250</c:v>
                </c:pt>
                <c:pt idx="220">
                  <c:v>90</c:v>
                </c:pt>
                <c:pt idx="221">
                  <c:v>180</c:v>
                </c:pt>
                <c:pt idx="222">
                  <c:v>450</c:v>
                </c:pt>
                <c:pt idx="223">
                  <c:v>80</c:v>
                </c:pt>
                <c:pt idx="224">
                  <c:v>90</c:v>
                </c:pt>
                <c:pt idx="225">
                  <c:v>270</c:v>
                </c:pt>
                <c:pt idx="226">
                  <c:v>90</c:v>
                </c:pt>
                <c:pt idx="227">
                  <c:v>60</c:v>
                </c:pt>
                <c:pt idx="228">
                  <c:v>270</c:v>
                </c:pt>
                <c:pt idx="229">
                  <c:v>90</c:v>
                </c:pt>
                <c:pt idx="230">
                  <c:v>330</c:v>
                </c:pt>
                <c:pt idx="231">
                  <c:v>90</c:v>
                </c:pt>
                <c:pt idx="232">
                  <c:v>180</c:v>
                </c:pt>
                <c:pt idx="233">
                  <c:v>300</c:v>
                </c:pt>
                <c:pt idx="234">
                  <c:v>450</c:v>
                </c:pt>
                <c:pt idx="235">
                  <c:v>330</c:v>
                </c:pt>
                <c:pt idx="236">
                  <c:v>90</c:v>
                </c:pt>
                <c:pt idx="237">
                  <c:v>100</c:v>
                </c:pt>
                <c:pt idx="238">
                  <c:v>360</c:v>
                </c:pt>
                <c:pt idx="239">
                  <c:v>180</c:v>
                </c:pt>
                <c:pt idx="240">
                  <c:v>270</c:v>
                </c:pt>
                <c:pt idx="241">
                  <c:v>90</c:v>
                </c:pt>
                <c:pt idx="242">
                  <c:v>50</c:v>
                </c:pt>
                <c:pt idx="243">
                  <c:v>100</c:v>
                </c:pt>
                <c:pt idx="244">
                  <c:v>50</c:v>
                </c:pt>
                <c:pt idx="245">
                  <c:v>300</c:v>
                </c:pt>
                <c:pt idx="246">
                  <c:v>90</c:v>
                </c:pt>
                <c:pt idx="247">
                  <c:v>125</c:v>
                </c:pt>
                <c:pt idx="248">
                  <c:v>160</c:v>
                </c:pt>
                <c:pt idx="249">
                  <c:v>360</c:v>
                </c:pt>
                <c:pt idx="250">
                  <c:v>270</c:v>
                </c:pt>
                <c:pt idx="251">
                  <c:v>200</c:v>
                </c:pt>
                <c:pt idx="252">
                  <c:v>100</c:v>
                </c:pt>
                <c:pt idx="253">
                  <c:v>180</c:v>
                </c:pt>
                <c:pt idx="254">
                  <c:v>70</c:v>
                </c:pt>
                <c:pt idx="255">
                  <c:v>90</c:v>
                </c:pt>
                <c:pt idx="256">
                  <c:v>270</c:v>
                </c:pt>
                <c:pt idx="257">
                  <c:v>180</c:v>
                </c:pt>
                <c:pt idx="258">
                  <c:v>270</c:v>
                </c:pt>
                <c:pt idx="259">
                  <c:v>450</c:v>
                </c:pt>
                <c:pt idx="260">
                  <c:v>270</c:v>
                </c:pt>
                <c:pt idx="261">
                  <c:v>180</c:v>
                </c:pt>
                <c:pt idx="262">
                  <c:v>450</c:v>
                </c:pt>
                <c:pt idx="263">
                  <c:v>360</c:v>
                </c:pt>
                <c:pt idx="264">
                  <c:v>126</c:v>
                </c:pt>
                <c:pt idx="265">
                  <c:v>50</c:v>
                </c:pt>
                <c:pt idx="266">
                  <c:v>270</c:v>
                </c:pt>
                <c:pt idx="267">
                  <c:v>200</c:v>
                </c:pt>
                <c:pt idx="268">
                  <c:v>90</c:v>
                </c:pt>
                <c:pt idx="269">
                  <c:v>360</c:v>
                </c:pt>
                <c:pt idx="270">
                  <c:v>270</c:v>
                </c:pt>
                <c:pt idx="271">
                  <c:v>50</c:v>
                </c:pt>
                <c:pt idx="272">
                  <c:v>180</c:v>
                </c:pt>
                <c:pt idx="273">
                  <c:v>270</c:v>
                </c:pt>
                <c:pt idx="274">
                  <c:v>60</c:v>
                </c:pt>
                <c:pt idx="275">
                  <c:v>400</c:v>
                </c:pt>
                <c:pt idx="276">
                  <c:v>180</c:v>
                </c:pt>
                <c:pt idx="277">
                  <c:v>135</c:v>
                </c:pt>
                <c:pt idx="278">
                  <c:v>180</c:v>
                </c:pt>
                <c:pt idx="279">
                  <c:v>270</c:v>
                </c:pt>
                <c:pt idx="280">
                  <c:v>360</c:v>
                </c:pt>
                <c:pt idx="281">
                  <c:v>160</c:v>
                </c:pt>
                <c:pt idx="282">
                  <c:v>100</c:v>
                </c:pt>
                <c:pt idx="283">
                  <c:v>180</c:v>
                </c:pt>
                <c:pt idx="284">
                  <c:v>360</c:v>
                </c:pt>
                <c:pt idx="285">
                  <c:v>50</c:v>
                </c:pt>
                <c:pt idx="286">
                  <c:v>270</c:v>
                </c:pt>
                <c:pt idx="287">
                  <c:v>90</c:v>
                </c:pt>
                <c:pt idx="288">
                  <c:v>90</c:v>
                </c:pt>
                <c:pt idx="289">
                  <c:v>360</c:v>
                </c:pt>
                <c:pt idx="290">
                  <c:v>80</c:v>
                </c:pt>
                <c:pt idx="291">
                  <c:v>100</c:v>
                </c:pt>
                <c:pt idx="292">
                  <c:v>270</c:v>
                </c:pt>
                <c:pt idx="293">
                  <c:v>360</c:v>
                </c:pt>
                <c:pt idx="294">
                  <c:v>540</c:v>
                </c:pt>
                <c:pt idx="295">
                  <c:v>330</c:v>
                </c:pt>
                <c:pt idx="296">
                  <c:v>540</c:v>
                </c:pt>
                <c:pt idx="297">
                  <c:v>540</c:v>
                </c:pt>
                <c:pt idx="298">
                  <c:v>200</c:v>
                </c:pt>
                <c:pt idx="299">
                  <c:v>180</c:v>
                </c:pt>
              </c:numCache>
            </c:numRef>
          </c:yVal>
          <c:smooth val="0"/>
          <c:extLst>
            <c:ext xmlns:c16="http://schemas.microsoft.com/office/drawing/2014/chart" uri="{C3380CC4-5D6E-409C-BE32-E72D297353CC}">
              <c16:uniqueId val="{00000000-92AD-4C6B-A3EE-B9174D437DA7}"/>
            </c:ext>
          </c:extLst>
        </c:ser>
        <c:dLbls>
          <c:showLegendKey val="0"/>
          <c:showVal val="0"/>
          <c:showCatName val="0"/>
          <c:showSerName val="0"/>
          <c:showPercent val="0"/>
          <c:showBubbleSize val="0"/>
        </c:dLbls>
        <c:axId val="1077212783"/>
        <c:axId val="1077213263"/>
      </c:scatterChart>
      <c:valAx>
        <c:axId val="10772127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Household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213263"/>
        <c:crosses val="autoZero"/>
        <c:crossBetween val="midCat"/>
      </c:valAx>
      <c:valAx>
        <c:axId val="1077213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Yield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2127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plotArea>
      <cx:plotAreaRegion>
        <cx:series layoutId="boxWhisker" uniqueId="{B749D6CF-045B-4C51-A141-E95EDD5F8FA7}">
          <cx:tx>
            <cx:txData>
              <cx:f>_xlchart.v1.1</cx:f>
              <cx:v>Age</cx:v>
            </cx:txData>
          </cx:tx>
          <cx:spPr>
            <a:ln>
              <a:solidFill>
                <a:schemeClr val="accent1">
                  <a:lumMod val="40000"/>
                  <a:lumOff val="60000"/>
                </a:schemeClr>
              </a:solidFill>
            </a:ln>
          </cx:spPr>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Age (years)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Age (years)</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Household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Household</a:t>
          </a:r>
        </a:p>
      </cx:txPr>
    </cx:title>
    <cx:plotArea>
      <cx:plotAreaRegion>
        <cx:series layoutId="boxWhisker" uniqueId="{EB2CF543-5FC1-2D45-B490-9A681239A60E}">
          <cx:dataLabels pos="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txData>
          <cx:v>Acreage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Acreage</a:t>
          </a:r>
        </a:p>
      </cx:txPr>
    </cx:title>
    <cx:plotArea>
      <cx:plotAreaRegion>
        <cx:series layoutId="boxWhisker" uniqueId="{6169A59F-8B0E-3543-9D12-59624537188F}">
          <cx:tx>
            <cx:txData>
              <cx:f>_xlchart.v1.5</cx:f>
              <cx:v>Acreage</cx:v>
            </cx:txData>
          </cx:tx>
          <cx:dataLabels pos="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txData>
          <cx:v>Fertilizer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Fertilizer</a:t>
          </a:r>
        </a:p>
      </cx:txPr>
    </cx:title>
    <cx:plotArea>
      <cx:plotAreaRegion>
        <cx:series layoutId="boxWhisker" uniqueId="{32D5BBE9-463E-9843-84AF-B065389D5C84}">
          <cx:tx>
            <cx:txData>
              <cx:f>_xlchart.v1.7</cx:f>
              <cx:v>Fertilizer</cx:v>
            </cx:txData>
          </cx:tx>
          <cx:dataLabels pos="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lvl ptCount="0"/>
      </cx:numDim>
    </cx:data>
  </cx:chartData>
  <cx:chart>
    <cx:title pos="t" align="ctr" overlay="0">
      <cx:tx>
        <cx:txData>
          <cx:v>Yield</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Yield</a:t>
          </a:r>
        </a:p>
      </cx:txPr>
    </cx:title>
    <cx:plotArea>
      <cx:plotAreaRegion>
        <cx:series layoutId="clusteredColumn" uniqueId="{00000000-28B9-4D26-AF24-4D871D41DC6E}">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3.xml"/><Relationship Id="rId7" Type="http://schemas.openxmlformats.org/officeDocument/2006/relationships/chart" Target="../charts/chart3.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2.xml"/><Relationship Id="rId5" Type="http://schemas.openxmlformats.org/officeDocument/2006/relationships/chart" Target="../charts/chart1.xml"/><Relationship Id="rId4" Type="http://schemas.microsoft.com/office/2014/relationships/chartEx" Target="../charts/chartEx4.xml"/><Relationship Id="rId9" Type="http://schemas.microsoft.com/office/2014/relationships/chartEx" Target="../charts/chartEx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590550</xdr:colOff>
      <xdr:row>1</xdr:row>
      <xdr:rowOff>184151</xdr:rowOff>
    </xdr:from>
    <xdr:to>
      <xdr:col>17</xdr:col>
      <xdr:colOff>228600</xdr:colOff>
      <xdr:row>8</xdr:row>
      <xdr:rowOff>127001</xdr:rowOff>
    </xdr:to>
    <xdr:sp macro="" textlink="">
      <xdr:nvSpPr>
        <xdr:cNvPr id="2" name="TextBox 1">
          <a:extLst>
            <a:ext uri="{FF2B5EF4-FFF2-40B4-BE49-F238E27FC236}">
              <a16:creationId xmlns:a16="http://schemas.microsoft.com/office/drawing/2014/main" id="{D4F27865-6077-6586-4A0A-27508350A494}"/>
            </a:ext>
          </a:extLst>
        </xdr:cNvPr>
        <xdr:cNvSpPr txBox="1"/>
      </xdr:nvSpPr>
      <xdr:spPr>
        <a:xfrm>
          <a:off x="8667750" y="387351"/>
          <a:ext cx="3600450" cy="1365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Data was reduced from 422 rows to 300 via random sample (RAND)</a:t>
          </a:r>
        </a:p>
        <a:p>
          <a:endParaRPr lang="en-US" sz="1100"/>
        </a:p>
        <a:p>
          <a:r>
            <a:rPr lang="en-US" sz="1100"/>
            <a:t>All</a:t>
          </a:r>
          <a:r>
            <a:rPr lang="en-US" sz="1100" baseline="0"/>
            <a:t> highlighted columns will be used as variables in the descriptive analysis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1</xdr:row>
      <xdr:rowOff>50800</xdr:rowOff>
    </xdr:from>
    <xdr:to>
      <xdr:col>9</xdr:col>
      <xdr:colOff>647700</xdr:colOff>
      <xdr:row>14</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F5803BA-339E-487F-AE44-F137C77422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33700" y="254000"/>
              <a:ext cx="46482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10</xdr:col>
      <xdr:colOff>565150</xdr:colOff>
      <xdr:row>1</xdr:row>
      <xdr:rowOff>165100</xdr:rowOff>
    </xdr:from>
    <xdr:ext cx="3270250" cy="1733550"/>
    <xdr:sp macro="" textlink="">
      <xdr:nvSpPr>
        <xdr:cNvPr id="4" name="TextBox 3">
          <a:extLst>
            <a:ext uri="{FF2B5EF4-FFF2-40B4-BE49-F238E27FC236}">
              <a16:creationId xmlns:a16="http://schemas.microsoft.com/office/drawing/2014/main" id="{A52CE85D-DDE8-7818-4D25-CF6BE5FBA56D}"/>
            </a:ext>
          </a:extLst>
        </xdr:cNvPr>
        <xdr:cNvSpPr txBox="1"/>
      </xdr:nvSpPr>
      <xdr:spPr>
        <a:xfrm>
          <a:off x="8070850" y="368300"/>
          <a:ext cx="3270250" cy="17335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The</a:t>
          </a:r>
          <a:r>
            <a:rPr lang="en-US" sz="1100" baseline="0"/>
            <a:t> age of these farmers range from 18 to 78 years old.</a:t>
          </a:r>
        </a:p>
        <a:p>
          <a:endParaRPr lang="en-US" sz="1100" baseline="0"/>
        </a:p>
        <a:p>
          <a:r>
            <a:rPr lang="en-US" sz="1100" baseline="0"/>
            <a:t>Skewness is very losing meaning there is essentially no skewness at all. </a:t>
          </a:r>
        </a:p>
        <a:p>
          <a:endParaRPr lang="en-US" sz="1100" baseline="0"/>
        </a:p>
        <a:p>
          <a:r>
            <a:rPr lang="en-US" sz="1100" baseline="0"/>
            <a:t>Distribution is very balanced with the mean, median, and mode being very similar.</a:t>
          </a:r>
        </a:p>
        <a:p>
          <a:endParaRPr lang="en-US" sz="1100" baseline="0"/>
        </a:p>
        <a:p>
          <a:endParaRPr lang="en-US" sz="1100" baseline="0"/>
        </a:p>
        <a:p>
          <a:endParaRPr lang="en-US" sz="1100"/>
        </a:p>
      </xdr:txBody>
    </xdr:sp>
    <xdr:clientData/>
  </xdr:oneCellAnchor>
  <xdr:twoCellAnchor>
    <xdr:from>
      <xdr:col>2</xdr:col>
      <xdr:colOff>635000</xdr:colOff>
      <xdr:row>18</xdr:row>
      <xdr:rowOff>101600</xdr:rowOff>
    </xdr:from>
    <xdr:to>
      <xdr:col>9</xdr:col>
      <xdr:colOff>495300</xdr:colOff>
      <xdr:row>32</xdr:row>
      <xdr:rowOff>0</xdr:rowOff>
    </xdr:to>
    <mc:AlternateContent xmlns:mc="http://schemas.openxmlformats.org/markup-compatibility/2006">
      <mc:Choice xmlns:cx1="http://schemas.microsoft.com/office/drawing/2015/9/8/chartex" Requires="cx1">
        <xdr:graphicFrame macro="">
          <xdr:nvGraphicFramePr>
            <xdr:cNvPr id="5" name="Chart 1">
              <a:extLst>
                <a:ext uri="{FF2B5EF4-FFF2-40B4-BE49-F238E27FC236}">
                  <a16:creationId xmlns:a16="http://schemas.microsoft.com/office/drawing/2014/main" id="{C8B6E859-471D-CD40-885A-061C7F0258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857500" y="37719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11</xdr:col>
      <xdr:colOff>266700</xdr:colOff>
      <xdr:row>22</xdr:row>
      <xdr:rowOff>25400</xdr:rowOff>
    </xdr:from>
    <xdr:ext cx="3035300" cy="1206500"/>
    <xdr:sp macro="" textlink="">
      <xdr:nvSpPr>
        <xdr:cNvPr id="22" name="TextBox 4">
          <a:extLst>
            <a:ext uri="{FF2B5EF4-FFF2-40B4-BE49-F238E27FC236}">
              <a16:creationId xmlns:a16="http://schemas.microsoft.com/office/drawing/2014/main" id="{463BA2A0-D552-930E-6758-6C7336732F71}"/>
            </a:ext>
          </a:extLst>
        </xdr:cNvPr>
        <xdr:cNvSpPr txBox="1"/>
      </xdr:nvSpPr>
      <xdr:spPr>
        <a:xfrm>
          <a:off x="8242300" y="4521200"/>
          <a:ext cx="3035300" cy="12065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a:p>
        <a:p>
          <a:r>
            <a:rPr lang="en-US"/>
            <a:t>-The average household size is about 4.3 people</a:t>
          </a:r>
        </a:p>
        <a:p>
          <a:endParaRPr lang="en-US"/>
        </a:p>
        <a:p>
          <a:r>
            <a:rPr lang="en-US"/>
            <a:t>-Household sizes range from 1 to 9</a:t>
          </a:r>
        </a:p>
        <a:p>
          <a:endParaRPr lang="en-US"/>
        </a:p>
        <a:p>
          <a:r>
            <a:rPr lang="en-US"/>
            <a:t>-The data is evenly distributed with little skew</a:t>
          </a:r>
          <a:endParaRPr lang="en-US" sz="1100"/>
        </a:p>
      </xdr:txBody>
    </xdr:sp>
    <xdr:clientData/>
  </xdr:oneCellAnchor>
  <xdr:twoCellAnchor>
    <xdr:from>
      <xdr:col>3</xdr:col>
      <xdr:colOff>139700</xdr:colOff>
      <xdr:row>35</xdr:row>
      <xdr:rowOff>50800</xdr:rowOff>
    </xdr:from>
    <xdr:to>
      <xdr:col>10</xdr:col>
      <xdr:colOff>0</xdr:colOff>
      <xdr:row>48</xdr:row>
      <xdr:rowOff>152400</xdr:rowOff>
    </xdr:to>
    <mc:AlternateContent xmlns:mc="http://schemas.openxmlformats.org/markup-compatibility/2006">
      <mc:Choice xmlns:cx1="http://schemas.microsoft.com/office/drawing/2015/9/8/chartex" Requires="cx1">
        <xdr:graphicFrame macro="">
          <xdr:nvGraphicFramePr>
            <xdr:cNvPr id="10" name="Chart 5">
              <a:extLst>
                <a:ext uri="{FF2B5EF4-FFF2-40B4-BE49-F238E27FC236}">
                  <a16:creationId xmlns:a16="http://schemas.microsoft.com/office/drawing/2014/main" id="{676D006D-DED9-1140-9116-C72281BB28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035300" y="71882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203200</xdr:colOff>
      <xdr:row>53</xdr:row>
      <xdr:rowOff>139700</xdr:rowOff>
    </xdr:from>
    <xdr:to>
      <xdr:col>10</xdr:col>
      <xdr:colOff>63500</xdr:colOff>
      <xdr:row>67</xdr:row>
      <xdr:rowOff>38100</xdr:rowOff>
    </xdr:to>
    <mc:AlternateContent xmlns:mc="http://schemas.openxmlformats.org/markup-compatibility/2006">
      <mc:Choice xmlns:cx1="http://schemas.microsoft.com/office/drawing/2015/9/8/chartex" Requires="cx1">
        <xdr:graphicFrame macro="">
          <xdr:nvGraphicFramePr>
            <xdr:cNvPr id="14" name="Chart 6">
              <a:extLst>
                <a:ext uri="{FF2B5EF4-FFF2-40B4-BE49-F238E27FC236}">
                  <a16:creationId xmlns:a16="http://schemas.microsoft.com/office/drawing/2014/main" id="{80D3B074-3BF2-724C-A0E1-BB4BE76A8A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098800" y="109474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330200</xdr:colOff>
      <xdr:row>37</xdr:row>
      <xdr:rowOff>63500</xdr:rowOff>
    </xdr:from>
    <xdr:to>
      <xdr:col>17</xdr:col>
      <xdr:colOff>63500</xdr:colOff>
      <xdr:row>45</xdr:row>
      <xdr:rowOff>127000</xdr:rowOff>
    </xdr:to>
    <xdr:sp macro="" textlink="">
      <xdr:nvSpPr>
        <xdr:cNvPr id="24" name="TextBox 7">
          <a:extLst>
            <a:ext uri="{FF2B5EF4-FFF2-40B4-BE49-F238E27FC236}">
              <a16:creationId xmlns:a16="http://schemas.microsoft.com/office/drawing/2014/main" id="{68ACD732-58A6-4030-5394-B45161F13875}"/>
            </a:ext>
          </a:extLst>
        </xdr:cNvPr>
        <xdr:cNvSpPr txBox="1"/>
      </xdr:nvSpPr>
      <xdr:spPr>
        <a:xfrm>
          <a:off x="8305800" y="7632700"/>
          <a:ext cx="3771900" cy="168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a:p>
          <a:r>
            <a:rPr lang="en-US"/>
            <a:t>-The average acreage is about 0.8 acres</a:t>
          </a:r>
        </a:p>
        <a:p>
          <a:endParaRPr lang="en-US"/>
        </a:p>
        <a:p>
          <a:r>
            <a:rPr lang="en-US"/>
            <a:t>-Most farms are small, with the majority under 1 acre</a:t>
          </a:r>
        </a:p>
        <a:p>
          <a:endParaRPr lang="en-US"/>
        </a:p>
        <a:p>
          <a:r>
            <a:rPr lang="en-US"/>
            <a:t>-The data is skewed right, meaning a few larger farms pull the average up</a:t>
          </a:r>
          <a:endParaRPr lang="en-US" sz="1100"/>
        </a:p>
      </xdr:txBody>
    </xdr:sp>
    <xdr:clientData/>
  </xdr:twoCellAnchor>
  <xdr:twoCellAnchor>
    <xdr:from>
      <xdr:col>11</xdr:col>
      <xdr:colOff>546100</xdr:colOff>
      <xdr:row>54</xdr:row>
      <xdr:rowOff>165100</xdr:rowOff>
    </xdr:from>
    <xdr:to>
      <xdr:col>16</xdr:col>
      <xdr:colOff>571500</xdr:colOff>
      <xdr:row>62</xdr:row>
      <xdr:rowOff>114300</xdr:rowOff>
    </xdr:to>
    <xdr:sp macro="" textlink="">
      <xdr:nvSpPr>
        <xdr:cNvPr id="27" name="TextBox 8">
          <a:extLst>
            <a:ext uri="{FF2B5EF4-FFF2-40B4-BE49-F238E27FC236}">
              <a16:creationId xmlns:a16="http://schemas.microsoft.com/office/drawing/2014/main" id="{3D4AEF2C-5CDF-0A67-A3C9-EFBBCEF9CFAF}"/>
            </a:ext>
          </a:extLst>
        </xdr:cNvPr>
        <xdr:cNvSpPr txBox="1"/>
      </xdr:nvSpPr>
      <xdr:spPr>
        <a:xfrm>
          <a:off x="8521700" y="11214100"/>
          <a:ext cx="3390900" cy="157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average fertilizer use is about 63.78 kg, but most farmers use around 50 kg</a:t>
          </a:r>
        </a:p>
        <a:p>
          <a:endParaRPr lang="en-US"/>
        </a:p>
        <a:p>
          <a:r>
            <a:rPr lang="en-US"/>
            <a:t>-The data is heavily skewed right with several high outliers reaching up to 480 kg</a:t>
          </a:r>
        </a:p>
        <a:p>
          <a:endParaRPr lang="en-US"/>
        </a:p>
        <a:p>
          <a:r>
            <a:rPr lang="en-US"/>
            <a:t>-There is very high variability, with a standard deviation of over 61 kg</a:t>
          </a:r>
          <a:endParaRPr lang="en-US" sz="1100"/>
        </a:p>
      </xdr:txBody>
    </xdr:sp>
    <xdr:clientData/>
  </xdr:twoCellAnchor>
  <xdr:twoCellAnchor>
    <xdr:from>
      <xdr:col>2</xdr:col>
      <xdr:colOff>556260</xdr:colOff>
      <xdr:row>69</xdr:row>
      <xdr:rowOff>7620</xdr:rowOff>
    </xdr:from>
    <xdr:to>
      <xdr:col>8</xdr:col>
      <xdr:colOff>45720</xdr:colOff>
      <xdr:row>79</xdr:row>
      <xdr:rowOff>68580</xdr:rowOff>
    </xdr:to>
    <xdr:graphicFrame macro="">
      <xdr:nvGraphicFramePr>
        <xdr:cNvPr id="32" name="Chart 1">
          <a:extLst>
            <a:ext uri="{FF2B5EF4-FFF2-40B4-BE49-F238E27FC236}">
              <a16:creationId xmlns:a16="http://schemas.microsoft.com/office/drawing/2014/main" id="{90889174-6040-409A-84EA-9F223495D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594360</xdr:colOff>
      <xdr:row>80</xdr:row>
      <xdr:rowOff>167640</xdr:rowOff>
    </xdr:from>
    <xdr:to>
      <xdr:col>7</xdr:col>
      <xdr:colOff>586740</xdr:colOff>
      <xdr:row>92</xdr:row>
      <xdr:rowOff>83820</xdr:rowOff>
    </xdr:to>
    <xdr:graphicFrame macro="">
      <xdr:nvGraphicFramePr>
        <xdr:cNvPr id="502" name="Chart 5">
          <a:extLst>
            <a:ext uri="{FF2B5EF4-FFF2-40B4-BE49-F238E27FC236}">
              <a16:creationId xmlns:a16="http://schemas.microsoft.com/office/drawing/2014/main" id="{937D0FF3-3631-436F-A5C7-699B1E454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487680</xdr:colOff>
      <xdr:row>92</xdr:row>
      <xdr:rowOff>152400</xdr:rowOff>
    </xdr:from>
    <xdr:to>
      <xdr:col>8</xdr:col>
      <xdr:colOff>45720</xdr:colOff>
      <xdr:row>103</xdr:row>
      <xdr:rowOff>7620</xdr:rowOff>
    </xdr:to>
    <xdr:graphicFrame macro="">
      <xdr:nvGraphicFramePr>
        <xdr:cNvPr id="36" name="Chart 6">
          <a:extLst>
            <a:ext uri="{FF2B5EF4-FFF2-40B4-BE49-F238E27FC236}">
              <a16:creationId xmlns:a16="http://schemas.microsoft.com/office/drawing/2014/main" id="{13501596-B51D-4D9B-93AD-E89616A02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609600</xdr:colOff>
      <xdr:row>70</xdr:row>
      <xdr:rowOff>144780</xdr:rowOff>
    </xdr:from>
    <xdr:to>
      <xdr:col>13</xdr:col>
      <xdr:colOff>525780</xdr:colOff>
      <xdr:row>78</xdr:row>
      <xdr:rowOff>30480</xdr:rowOff>
    </xdr:to>
    <xdr:sp macro="" textlink="">
      <xdr:nvSpPr>
        <xdr:cNvPr id="1460" name="TextBox 7">
          <a:extLst>
            <a:ext uri="{FF2B5EF4-FFF2-40B4-BE49-F238E27FC236}">
              <a16:creationId xmlns:a16="http://schemas.microsoft.com/office/drawing/2014/main" id="{E2640D24-FBEB-D30E-4CF1-064884A17902}"/>
            </a:ext>
          </a:extLst>
        </xdr:cNvPr>
        <xdr:cNvSpPr txBox="1"/>
      </xdr:nvSpPr>
      <xdr:spPr>
        <a:xfrm>
          <a:off x="7338060" y="14066520"/>
          <a:ext cx="3268980" cy="1470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pie chart displays wether a farm record was recorded or not.</a:t>
          </a:r>
        </a:p>
        <a:p>
          <a:r>
            <a:rPr lang="en-US" sz="1100"/>
            <a:t>-</a:t>
          </a:r>
          <a:r>
            <a:rPr lang="en-US" sz="1100" baseline="0"/>
            <a:t> The data is split up into 2 categories; yes to using a farm record or no to using a farm record.</a:t>
          </a:r>
        </a:p>
        <a:p>
          <a:r>
            <a:rPr lang="en-US" sz="1100" baseline="0"/>
            <a:t>- The larger portion in the pie chart is "No" to using farm records at 72%.</a:t>
          </a:r>
        </a:p>
        <a:p>
          <a:r>
            <a:rPr lang="en-US" sz="1100" baseline="0"/>
            <a:t>- The smaller portion in the pie chart is "Yes" to using farm records at 28%</a:t>
          </a:r>
          <a:endParaRPr lang="en-US" sz="1100"/>
        </a:p>
      </xdr:txBody>
    </xdr:sp>
    <xdr:clientData/>
  </xdr:twoCellAnchor>
  <xdr:twoCellAnchor>
    <xdr:from>
      <xdr:col>8</xdr:col>
      <xdr:colOff>647700</xdr:colOff>
      <xdr:row>83</xdr:row>
      <xdr:rowOff>30480</xdr:rowOff>
    </xdr:from>
    <xdr:to>
      <xdr:col>14</xdr:col>
      <xdr:colOff>480060</xdr:colOff>
      <xdr:row>90</xdr:row>
      <xdr:rowOff>45720</xdr:rowOff>
    </xdr:to>
    <xdr:sp macro="" textlink="">
      <xdr:nvSpPr>
        <xdr:cNvPr id="1455" name="TextBox 8">
          <a:extLst>
            <a:ext uri="{FF2B5EF4-FFF2-40B4-BE49-F238E27FC236}">
              <a16:creationId xmlns:a16="http://schemas.microsoft.com/office/drawing/2014/main" id="{1F54F325-53FE-A3D7-5000-A71E5E6205B5}"/>
            </a:ext>
            <a:ext uri="{147F2762-F138-4A5C-976F-8EAC2B608ADB}">
              <a16:predDERef xmlns:a16="http://schemas.microsoft.com/office/drawing/2014/main" pred="{E2640D24-FBEB-D30E-4CF1-064884A17902}"/>
            </a:ext>
          </a:extLst>
        </xdr:cNvPr>
        <xdr:cNvSpPr txBox="1"/>
      </xdr:nvSpPr>
      <xdr:spPr>
        <a:xfrm>
          <a:off x="6610350" y="16699230"/>
          <a:ext cx="3947160" cy="1415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pie chart displays what type</a:t>
          </a:r>
          <a:r>
            <a:rPr lang="en-US" sz="1100" baseline="0"/>
            <a:t> of education was received for farmers.</a:t>
          </a:r>
        </a:p>
        <a:p>
          <a:r>
            <a:rPr lang="en-US" sz="1100" baseline="0"/>
            <a:t>- The data is split up into 5 categories; a degree, a certificate, a diploma, primary school, and secondary school.</a:t>
          </a:r>
        </a:p>
        <a:p>
          <a:r>
            <a:rPr lang="en-US" sz="1100" baseline="0"/>
            <a:t>- The largest portion in the pie chart is "Primary School" at 59%, followed by "Secondary School" at 33%, then a "Certificate" at 4%, and then both "Degree" and "Diploma" make up 2% each.</a:t>
          </a:r>
          <a:endParaRPr lang="en-US" sz="1100"/>
        </a:p>
      </xdr:txBody>
    </xdr:sp>
    <xdr:clientData/>
  </xdr:twoCellAnchor>
  <xdr:twoCellAnchor>
    <xdr:from>
      <xdr:col>8</xdr:col>
      <xdr:colOff>662940</xdr:colOff>
      <xdr:row>95</xdr:row>
      <xdr:rowOff>91440</xdr:rowOff>
    </xdr:from>
    <xdr:to>
      <xdr:col>14</xdr:col>
      <xdr:colOff>419100</xdr:colOff>
      <xdr:row>100</xdr:row>
      <xdr:rowOff>160020</xdr:rowOff>
    </xdr:to>
    <xdr:sp macro="" textlink="">
      <xdr:nvSpPr>
        <xdr:cNvPr id="1451" name="TextBox 10">
          <a:extLst>
            <a:ext uri="{FF2B5EF4-FFF2-40B4-BE49-F238E27FC236}">
              <a16:creationId xmlns:a16="http://schemas.microsoft.com/office/drawing/2014/main" id="{794B49A5-CA0F-48DE-2D15-600EB8FBA502}"/>
            </a:ext>
          </a:extLst>
        </xdr:cNvPr>
        <xdr:cNvSpPr txBox="1"/>
      </xdr:nvSpPr>
      <xdr:spPr>
        <a:xfrm>
          <a:off x="7391400" y="18966180"/>
          <a:ext cx="3779520" cy="1059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pie chart</a:t>
          </a:r>
          <a:r>
            <a:rPr lang="en-US" sz="1100" baseline="0"/>
            <a:t> displays the sex of the farmers.</a:t>
          </a:r>
        </a:p>
        <a:p>
          <a:r>
            <a:rPr lang="en-US" sz="1100" baseline="0"/>
            <a:t>- The data is split up into 2 categories; male farmers and female farmers.</a:t>
          </a:r>
        </a:p>
        <a:p>
          <a:r>
            <a:rPr lang="en-US" sz="1100" baseline="0"/>
            <a:t>- The larger portion in the pie chart is "Female" farmers at 70%.</a:t>
          </a:r>
        </a:p>
        <a:p>
          <a:r>
            <a:rPr lang="en-US" sz="1100" baseline="0"/>
            <a:t>- The smaller portion in the pie chart is "Male" farmers at 30%.</a:t>
          </a:r>
          <a:endParaRPr lang="en-US" sz="1100"/>
        </a:p>
      </xdr:txBody>
    </xdr:sp>
    <xdr:clientData/>
  </xdr:twoCellAnchor>
  <xdr:twoCellAnchor>
    <xdr:from>
      <xdr:col>2</xdr:col>
      <xdr:colOff>480060</xdr:colOff>
      <xdr:row>105</xdr:row>
      <xdr:rowOff>38100</xdr:rowOff>
    </xdr:from>
    <xdr:to>
      <xdr:col>8</xdr:col>
      <xdr:colOff>464820</xdr:colOff>
      <xdr:row>116</xdr:row>
      <xdr:rowOff>22860</xdr:rowOff>
    </xdr:to>
    <xdr:graphicFrame macro="">
      <xdr:nvGraphicFramePr>
        <xdr:cNvPr id="1174" name="Chart 11">
          <a:extLst>
            <a:ext uri="{FF2B5EF4-FFF2-40B4-BE49-F238E27FC236}">
              <a16:creationId xmlns:a16="http://schemas.microsoft.com/office/drawing/2014/main" id="{91419621-E0D7-42E0-B653-92C946709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302895</xdr:colOff>
      <xdr:row>105</xdr:row>
      <xdr:rowOff>40005</xdr:rowOff>
    </xdr:from>
    <xdr:to>
      <xdr:col>15</xdr:col>
      <xdr:colOff>302895</xdr:colOff>
      <xdr:row>113</xdr:row>
      <xdr:rowOff>85725</xdr:rowOff>
    </xdr:to>
    <xdr:sp macro="" textlink="">
      <xdr:nvSpPr>
        <xdr:cNvPr id="1725" name="TextBox 12">
          <a:extLst>
            <a:ext uri="{FF2B5EF4-FFF2-40B4-BE49-F238E27FC236}">
              <a16:creationId xmlns:a16="http://schemas.microsoft.com/office/drawing/2014/main" id="{72BD21C5-9EA6-CFE3-7B46-1E262C5606B2}"/>
            </a:ext>
            <a:ext uri="{147F2762-F138-4A5C-976F-8EAC2B608ADB}">
              <a16:predDERef xmlns:a16="http://schemas.microsoft.com/office/drawing/2014/main" pred="{91419621-E0D7-42E0-B653-92C946709917}"/>
            </a:ext>
          </a:extLst>
        </xdr:cNvPr>
        <xdr:cNvSpPr txBox="1"/>
      </xdr:nvSpPr>
      <xdr:spPr>
        <a:xfrm>
          <a:off x="6951345" y="21109305"/>
          <a:ext cx="4114800" cy="1645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bar chart display</a:t>
          </a:r>
          <a:r>
            <a:rPr lang="en-US" sz="1100" baseline="0"/>
            <a:t> the difference types of advisory or type of public broadcast used per farm.</a:t>
          </a:r>
        </a:p>
        <a:p>
          <a:r>
            <a:rPr lang="en-US" sz="1100" baseline="0"/>
            <a:t>- The data is split into 5 different categories; Television, Radio, Public gatherings, Internet, and Extension services.</a:t>
          </a:r>
        </a:p>
        <a:p>
          <a:r>
            <a:rPr lang="en-US" sz="1100" baseline="0"/>
            <a:t>- Radio has the highest number of usage at 134, followed by Extension services at 75, Public gatherings at 72, Internet at 11, and lastly Television at 8.</a:t>
          </a:r>
        </a:p>
        <a:p>
          <a:r>
            <a:rPr lang="en-US" sz="1100" baseline="0"/>
            <a:t>- Radio is significantly used more than any other type of advertising used.</a:t>
          </a:r>
        </a:p>
      </xdr:txBody>
    </xdr:sp>
    <xdr:clientData/>
  </xdr:twoCellAnchor>
  <xdr:twoCellAnchor>
    <xdr:from>
      <xdr:col>2</xdr:col>
      <xdr:colOff>638175</xdr:colOff>
      <xdr:row>119</xdr:row>
      <xdr:rowOff>142875</xdr:rowOff>
    </xdr:from>
    <xdr:to>
      <xdr:col>9</xdr:col>
      <xdr:colOff>409575</xdr:colOff>
      <xdr:row>133</xdr:row>
      <xdr:rowOff>85725</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14F57A6F-4EAC-8F51-2052-A93024D88270}"/>
                </a:ext>
                <a:ext uri="{147F2762-F138-4A5C-976F-8EAC2B608ADB}">
                  <a16:predDERef xmlns:a16="http://schemas.microsoft.com/office/drawing/2014/main" pred="{72BD21C5-9EA6-CFE3-7B46-1E262C5606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860675" y="24368125"/>
              <a:ext cx="4483100" cy="2787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314325</xdr:colOff>
      <xdr:row>121</xdr:row>
      <xdr:rowOff>85725</xdr:rowOff>
    </xdr:from>
    <xdr:to>
      <xdr:col>15</xdr:col>
      <xdr:colOff>85725</xdr:colOff>
      <xdr:row>127</xdr:row>
      <xdr:rowOff>180975</xdr:rowOff>
    </xdr:to>
    <xdr:sp macro="" textlink="">
      <xdr:nvSpPr>
        <xdr:cNvPr id="9" name="TextBox 8">
          <a:extLst>
            <a:ext uri="{FF2B5EF4-FFF2-40B4-BE49-F238E27FC236}">
              <a16:creationId xmlns:a16="http://schemas.microsoft.com/office/drawing/2014/main" id="{420C5D5E-6EDC-CC24-15DE-F3A4BED99135}"/>
            </a:ext>
            <a:ext uri="{147F2762-F138-4A5C-976F-8EAC2B608ADB}">
              <a16:predDERef xmlns:a16="http://schemas.microsoft.com/office/drawing/2014/main" pred="{14F57A6F-4EAC-8F51-2052-A93024D88270}"/>
            </a:ext>
          </a:extLst>
        </xdr:cNvPr>
        <xdr:cNvSpPr txBox="1"/>
      </xdr:nvSpPr>
      <xdr:spPr>
        <a:xfrm>
          <a:off x="7648575" y="24355425"/>
          <a:ext cx="3200400" cy="12954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Aptos Narrow" panose="020B0004020202020204" pitchFamily="34" charset="0"/>
            </a:rPr>
            <a:t>-The average yield is 230.69 kg/acre, but most farmers produce around 180 kg  because the data is right skewed. </a:t>
          </a:r>
        </a:p>
        <a:p>
          <a:pPr marL="0" indent="0" algn="l"/>
          <a:r>
            <a:rPr lang="en-US" sz="1100" b="0" i="0" u="none" strike="noStrike">
              <a:solidFill>
                <a:srgbClr val="000000"/>
              </a:solidFill>
              <a:latin typeface="Aptos Narrow" panose="020B0004020202020204" pitchFamily="34" charset="0"/>
            </a:rPr>
            <a:t>- the highest amount of yield attaned was 560 kg/acre</a:t>
          </a:r>
        </a:p>
        <a:p>
          <a:pPr marL="0" indent="0" algn="l"/>
          <a:r>
            <a:rPr lang="en-US" sz="1100" b="0" i="0" u="none" strike="noStrike">
              <a:solidFill>
                <a:srgbClr val="000000"/>
              </a:solidFill>
              <a:latin typeface="Aptos Narrow" panose="020B0004020202020204" pitchFamily="34" charset="0"/>
            </a:rPr>
            <a:t>-the range is 510 suggesting farmers can both improve or worsen there yields by identifying what other farmers did different.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83820</xdr:colOff>
      <xdr:row>19</xdr:row>
      <xdr:rowOff>114300</xdr:rowOff>
    </xdr:from>
    <xdr:to>
      <xdr:col>13</xdr:col>
      <xdr:colOff>373380</xdr:colOff>
      <xdr:row>32</xdr:row>
      <xdr:rowOff>160020</xdr:rowOff>
    </xdr:to>
    <xdr:sp macro="" textlink="">
      <xdr:nvSpPr>
        <xdr:cNvPr id="762" name="TextBox 1">
          <a:extLst>
            <a:ext uri="{FF2B5EF4-FFF2-40B4-BE49-F238E27FC236}">
              <a16:creationId xmlns:a16="http://schemas.microsoft.com/office/drawing/2014/main" id="{91ABE712-04F8-104F-CE70-0958E4327854}"/>
            </a:ext>
          </a:extLst>
        </xdr:cNvPr>
        <xdr:cNvSpPr txBox="1"/>
      </xdr:nvSpPr>
      <xdr:spPr>
        <a:xfrm>
          <a:off x="5928360" y="3909060"/>
          <a:ext cx="5029200" cy="2621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Is</a:t>
          </a:r>
          <a:r>
            <a:rPr lang="en-US" sz="1100" baseline="0"/>
            <a:t> there a difference in a farmers' household for corn production based on advisory?</a:t>
          </a:r>
        </a:p>
        <a:p>
          <a:endParaRPr lang="en-US" sz="1100" baseline="0"/>
        </a:p>
        <a:p>
          <a:r>
            <a:rPr lang="en-US" sz="1100" baseline="0"/>
            <a:t>H0: Average for Extension services = Average for Internet = Average for Public gatherings = Average for Radio = Average for Television</a:t>
          </a:r>
        </a:p>
        <a:p>
          <a:r>
            <a:rPr lang="en-US" sz="1100" baseline="0"/>
            <a:t>HA: At least one average is not equal</a:t>
          </a:r>
        </a:p>
        <a:p>
          <a:endParaRPr lang="en-US" sz="1100" baseline="0"/>
        </a:p>
        <a:p>
          <a:r>
            <a:rPr lang="en-US" sz="1100" baseline="0"/>
            <a:t>P value = 0.30</a:t>
          </a:r>
        </a:p>
        <a:p>
          <a:endParaRPr lang="en-US" sz="1100" baseline="0"/>
        </a:p>
        <a:p>
          <a:r>
            <a:rPr lang="en-US" sz="1100" baseline="0"/>
            <a:t>We fail to reject the null hypothesis that average number of people in a farmers' household impacts the advisory method for farmers via extension services, internet, public gatherings, radio, and television is the same. There is no significant difference in advisory based on the number of people in a famer's household.</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527050</xdr:colOff>
      <xdr:row>10</xdr:row>
      <xdr:rowOff>168275</xdr:rowOff>
    </xdr:from>
    <xdr:to>
      <xdr:col>15</xdr:col>
      <xdr:colOff>374650</xdr:colOff>
      <xdr:row>24</xdr:row>
      <xdr:rowOff>66675</xdr:rowOff>
    </xdr:to>
    <xdr:graphicFrame macro="">
      <xdr:nvGraphicFramePr>
        <xdr:cNvPr id="3" name="Chart 2">
          <a:extLst>
            <a:ext uri="{FF2B5EF4-FFF2-40B4-BE49-F238E27FC236}">
              <a16:creationId xmlns:a16="http://schemas.microsoft.com/office/drawing/2014/main" id="{F6DD8363-4E58-2465-D832-B5A3C3F1E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533400</xdr:colOff>
      <xdr:row>25</xdr:row>
      <xdr:rowOff>123825</xdr:rowOff>
    </xdr:from>
    <xdr:to>
      <xdr:col>15</xdr:col>
      <xdr:colOff>381000</xdr:colOff>
      <xdr:row>39</xdr:row>
      <xdr:rowOff>22225</xdr:rowOff>
    </xdr:to>
    <xdr:graphicFrame macro="">
      <xdr:nvGraphicFramePr>
        <xdr:cNvPr id="4" name="Chart 3">
          <a:extLst>
            <a:ext uri="{FF2B5EF4-FFF2-40B4-BE49-F238E27FC236}">
              <a16:creationId xmlns:a16="http://schemas.microsoft.com/office/drawing/2014/main" id="{1E3F3D4B-BA85-F5B8-74F0-64C8DD5FF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152400</xdr:colOff>
      <xdr:row>1</xdr:row>
      <xdr:rowOff>44450</xdr:rowOff>
    </xdr:from>
    <xdr:to>
      <xdr:col>26</xdr:col>
      <xdr:colOff>63500</xdr:colOff>
      <xdr:row>17</xdr:row>
      <xdr:rowOff>19050</xdr:rowOff>
    </xdr:to>
    <xdr:sp macro="" textlink="">
      <xdr:nvSpPr>
        <xdr:cNvPr id="5" name="TextBox 4">
          <a:extLst>
            <a:ext uri="{FF2B5EF4-FFF2-40B4-BE49-F238E27FC236}">
              <a16:creationId xmlns:a16="http://schemas.microsoft.com/office/drawing/2014/main" id="{8CD02AE6-8932-5234-1429-37FAC381EE8B}"/>
            </a:ext>
          </a:extLst>
        </xdr:cNvPr>
        <xdr:cNvSpPr txBox="1"/>
      </xdr:nvSpPr>
      <xdr:spPr>
        <a:xfrm>
          <a:off x="11569700" y="254000"/>
          <a:ext cx="5854700" cy="32321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    </a:t>
          </a:r>
          <a:r>
            <a:rPr lang="en-US"/>
            <a:t>All of the X variables in the dataset show weak or very weak correlations with Yield, except for Age and Acreage:</a:t>
          </a:r>
        </a:p>
        <a:p>
          <a:endParaRPr lang="en-US" b="0"/>
        </a:p>
        <a:p>
          <a:r>
            <a:rPr lang="en-US" b="0"/>
            <a:t>Age (r = -0.876) </a:t>
          </a:r>
          <a:r>
            <a:rPr lang="en-US"/>
            <a:t>has a </a:t>
          </a:r>
          <a:r>
            <a:rPr lang="en-US" b="0"/>
            <a:t>very strong negative correlation </a:t>
          </a:r>
          <a:r>
            <a:rPr lang="en-US"/>
            <a:t>with Yield. This means that as age increases, yield tends to decrease significantly. This is the strongest relationship in the dataset and suggests age is a major factor affecting yield. </a:t>
          </a:r>
        </a:p>
        <a:p>
          <a:endParaRPr lang="en-US" b="0"/>
        </a:p>
        <a:p>
          <a:r>
            <a:rPr lang="en-US" b="0"/>
            <a:t>Acreage (r = 0.406) </a:t>
          </a:r>
          <a:r>
            <a:rPr lang="en-US"/>
            <a:t>has a </a:t>
          </a:r>
          <a:r>
            <a:rPr lang="en-US" b="0"/>
            <a:t>moderate positive correlation </a:t>
          </a:r>
          <a:r>
            <a:rPr lang="en-US"/>
            <a:t>with Yield. This indicates that larger acreage is associated with higher yield, though the relationship is not extremely strong. </a:t>
          </a:r>
        </a:p>
        <a:p>
          <a:endParaRPr lang="en-US" b="0"/>
        </a:p>
        <a:p>
          <a:r>
            <a:rPr lang="en-US" b="0"/>
            <a:t>Household (r = 0.135)</a:t>
          </a:r>
          <a:r>
            <a:rPr lang="en-US"/>
            <a:t> has a </a:t>
          </a:r>
          <a:r>
            <a:rPr lang="en-US" b="0"/>
            <a:t>very weak positive correlation </a:t>
          </a:r>
          <a:r>
            <a:rPr lang="en-US"/>
            <a:t>with Yield. This suggests household size has little to no meaningful impact on yield. </a:t>
          </a:r>
        </a:p>
        <a:p>
          <a:r>
            <a:rPr lang="en-US" b="0"/>
            <a:t>Fertilizer (r = 0.022) </a:t>
          </a:r>
          <a:r>
            <a:rPr lang="en-US"/>
            <a:t>has an </a:t>
          </a:r>
          <a:r>
            <a:rPr lang="en-US" b="0"/>
            <a:t>almost negligible positive correlation </a:t>
          </a:r>
          <a:r>
            <a:rPr lang="en-US"/>
            <a:t>with Yield. This indicates little to no linear relationship between fertilizer use and yield in this dataset. </a:t>
          </a:r>
        </a:p>
        <a:p>
          <a:endParaRPr lang="en-US" b="0"/>
        </a:p>
        <a:p>
          <a:r>
            <a:rPr lang="en-US" b="0"/>
            <a:t>Laborers (r = -0.046) has a very weak negative correlation</a:t>
          </a:r>
          <a:r>
            <a:rPr lang="en-US" b="1"/>
            <a:t> </a:t>
          </a:r>
          <a:r>
            <a:rPr lang="en-US"/>
            <a:t>with Yield, suggesting essentially no meaningful relationship.</a:t>
          </a:r>
        </a:p>
        <a:p>
          <a:endParaRPr lang="en-US" sz="1100" b="1"/>
        </a:p>
      </xdr:txBody>
    </xdr:sp>
    <xdr:clientData/>
  </xdr:twoCellAnchor>
  <xdr:oneCellAnchor>
    <xdr:from>
      <xdr:col>21</xdr:col>
      <xdr:colOff>495300</xdr:colOff>
      <xdr:row>8</xdr:row>
      <xdr:rowOff>114300</xdr:rowOff>
    </xdr:from>
    <xdr:ext cx="184731" cy="264560"/>
    <xdr:sp macro="" textlink="">
      <xdr:nvSpPr>
        <xdr:cNvPr id="6" name="TextBox 5">
          <a:extLst>
            <a:ext uri="{FF2B5EF4-FFF2-40B4-BE49-F238E27FC236}">
              <a16:creationId xmlns:a16="http://schemas.microsoft.com/office/drawing/2014/main" id="{456D4267-A2A0-EE32-D36A-B1DC1E0C53AD}"/>
            </a:ext>
          </a:extLst>
        </xdr:cNvPr>
        <xdr:cNvSpPr txBox="1"/>
      </xdr:nvSpPr>
      <xdr:spPr>
        <a:xfrm>
          <a:off x="14554200" y="175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17</xdr:col>
      <xdr:colOff>146050</xdr:colOff>
      <xdr:row>19</xdr:row>
      <xdr:rowOff>107950</xdr:rowOff>
    </xdr:from>
    <xdr:to>
      <xdr:col>26</xdr:col>
      <xdr:colOff>127000</xdr:colOff>
      <xdr:row>28</xdr:row>
      <xdr:rowOff>165100</xdr:rowOff>
    </xdr:to>
    <xdr:sp macro="" textlink="">
      <xdr:nvSpPr>
        <xdr:cNvPr id="7" name="TextBox 6">
          <a:extLst>
            <a:ext uri="{FF2B5EF4-FFF2-40B4-BE49-F238E27FC236}">
              <a16:creationId xmlns:a16="http://schemas.microsoft.com/office/drawing/2014/main" id="{5CA92070-F5C6-08A8-9372-3B6207C2F164}"/>
            </a:ext>
          </a:extLst>
        </xdr:cNvPr>
        <xdr:cNvSpPr txBox="1"/>
      </xdr:nvSpPr>
      <xdr:spPr>
        <a:xfrm>
          <a:off x="11563350" y="3981450"/>
          <a:ext cx="5924550" cy="18859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Looking at correlations among the independent variables:</a:t>
          </a:r>
        </a:p>
        <a:p>
          <a:endParaRPr lang="en-US"/>
        </a:p>
        <a:p>
          <a:r>
            <a:rPr lang="en-US"/>
            <a:t>There </a:t>
          </a:r>
          <a:r>
            <a:rPr lang="en-US" b="0"/>
            <a:t>are no very strong correlations </a:t>
          </a:r>
          <a:r>
            <a:rPr lang="en-US"/>
            <a:t>between most X variables, meaning multicollinearity is generally not a concern. </a:t>
          </a:r>
        </a:p>
        <a:p>
          <a:endParaRPr lang="en-US"/>
        </a:p>
        <a:p>
          <a:r>
            <a:rPr lang="en-US"/>
            <a:t>The strongest relationship among X variables is between </a:t>
          </a:r>
          <a:r>
            <a:rPr lang="en-US" b="0"/>
            <a:t>Age and Acreage (r = -0.396), </a:t>
          </a:r>
          <a:r>
            <a:rPr lang="en-US"/>
            <a:t>which is a </a:t>
          </a:r>
          <a:r>
            <a:rPr lang="en-US" b="0"/>
            <a:t>moderate negative correlation</a:t>
          </a:r>
          <a:r>
            <a:rPr lang="en-US"/>
            <a:t>, but not strong enough to violate multicollinearity assumptions. </a:t>
          </a:r>
        </a:p>
        <a:p>
          <a:endParaRPr lang="en-US"/>
        </a:p>
        <a:p>
          <a:r>
            <a:rPr lang="en-US"/>
            <a:t>All other correlations between independent variables are weak.</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404812</xdr:colOff>
      <xdr:row>7</xdr:row>
      <xdr:rowOff>55562</xdr:rowOff>
    </xdr:from>
    <xdr:to>
      <xdr:col>20</xdr:col>
      <xdr:colOff>468312</xdr:colOff>
      <xdr:row>16</xdr:row>
      <xdr:rowOff>119062</xdr:rowOff>
    </xdr:to>
    <xdr:sp macro="" textlink="">
      <xdr:nvSpPr>
        <xdr:cNvPr id="2" name="TextBox 1">
          <a:extLst>
            <a:ext uri="{FF2B5EF4-FFF2-40B4-BE49-F238E27FC236}">
              <a16:creationId xmlns:a16="http://schemas.microsoft.com/office/drawing/2014/main" id="{A4642405-577E-7922-35A3-B8259C83585C}"/>
            </a:ext>
          </a:extLst>
        </xdr:cNvPr>
        <xdr:cNvSpPr txBox="1"/>
      </xdr:nvSpPr>
      <xdr:spPr>
        <a:xfrm>
          <a:off x="9937750" y="1500187"/>
          <a:ext cx="5334000" cy="19208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Categorical Variables Transformed into Dummy Variables:</a:t>
          </a:r>
          <a:endParaRPr lang="en-US">
            <a:effectLst/>
          </a:endParaRPr>
        </a:p>
        <a:p>
          <a:endParaRPr lang="en-US">
            <a:effectLst/>
          </a:endParaRPr>
        </a:p>
        <a:p>
          <a:endParaRPr lang="en-US">
            <a:effectLst/>
          </a:endParaRPr>
        </a:p>
        <a:p>
          <a:r>
            <a:rPr lang="en-US" sz="1100" baseline="0">
              <a:solidFill>
                <a:schemeClr val="dk1"/>
              </a:solidFill>
              <a:effectLst/>
              <a:latin typeface="+mn-lt"/>
              <a:ea typeface="+mn-ea"/>
              <a:cs typeface="+mn-cs"/>
            </a:rPr>
            <a:t>Advisory (Radio, Public Gathering, Extension Services ) &gt;&gt; 3 Variables with Radio as the reference group</a:t>
          </a:r>
          <a:endParaRPr lang="en-US">
            <a:effectLst/>
          </a:endParaRP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k, Eleanor A" refreshedDate="46094.882779513886" createdVersion="8" refreshedVersion="8" minRefreshableVersion="3" recordCount="301" xr:uid="{183BA20B-E064-497D-B5B7-A69A68BEA7AB}">
  <cacheSource type="worksheet">
    <worksheetSource ref="J1:J1048576" sheet="Edited Data"/>
  </cacheSource>
  <cacheFields count="1">
    <cacheField name="Farm records"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k, Eleanor A" refreshedDate="46094.88538240741" createdVersion="8" refreshedVersion="8" minRefreshableVersion="3" recordCount="301" xr:uid="{C7641D99-8F2B-4F86-B160-2CBDF89E9F0B}">
  <cacheSource type="worksheet">
    <worksheetSource ref="D1:D1048576" sheet="Edited Data"/>
  </cacheSource>
  <cacheFields count="1">
    <cacheField name="Education" numFmtId="0">
      <sharedItems containsBlank="1" count="6">
        <s v="Primary"/>
        <s v="Certificate"/>
        <s v="Secondary"/>
        <s v="Degree"/>
        <s v="Diploma"/>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k, Eleanor A" refreshedDate="46094.887352662037" createdVersion="8" refreshedVersion="8" minRefreshableVersion="3" recordCount="301" xr:uid="{699853C4-29E3-45A4-8732-F70079D6E018}">
  <cacheSource type="worksheet">
    <worksheetSource ref="B1:B1048576" sheet="Edited Data"/>
  </cacheSource>
  <cacheFields count="1">
    <cacheField name="Sex" numFmtId="0">
      <sharedItems containsBlank="1" count="3">
        <s v="Male"/>
        <s v="Female"/>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k, Eleanor A" refreshedDate="46094.899952662039" createdVersion="8" refreshedVersion="8" minRefreshableVersion="3" recordCount="301" xr:uid="{41D65D4F-4E33-47E6-A67B-286F47C0A4C9}">
  <cacheSource type="worksheet">
    <worksheetSource ref="I1:I1048576" sheet="Edited Data"/>
  </cacheSource>
  <cacheFields count="1">
    <cacheField name="Advisory" numFmtId="0">
      <sharedItems containsBlank="1" count="6">
        <s v="Radio"/>
        <s v="Public gatherings"/>
        <s v="Extension services"/>
        <s v="Internet"/>
        <s v="Television"/>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x v="0"/>
  </r>
  <r>
    <x v="0"/>
  </r>
  <r>
    <x v="0"/>
  </r>
  <r>
    <x v="0"/>
  </r>
  <r>
    <x v="0"/>
  </r>
  <r>
    <x v="0"/>
  </r>
  <r>
    <x v="1"/>
  </r>
  <r>
    <x v="1"/>
  </r>
  <r>
    <x v="0"/>
  </r>
  <r>
    <x v="0"/>
  </r>
  <r>
    <x v="1"/>
  </r>
  <r>
    <x v="1"/>
  </r>
  <r>
    <x v="0"/>
  </r>
  <r>
    <x v="1"/>
  </r>
  <r>
    <x v="1"/>
  </r>
  <r>
    <x v="0"/>
  </r>
  <r>
    <x v="0"/>
  </r>
  <r>
    <x v="1"/>
  </r>
  <r>
    <x v="0"/>
  </r>
  <r>
    <x v="0"/>
  </r>
  <r>
    <x v="0"/>
  </r>
  <r>
    <x v="0"/>
  </r>
  <r>
    <x v="0"/>
  </r>
  <r>
    <x v="0"/>
  </r>
  <r>
    <x v="1"/>
  </r>
  <r>
    <x v="1"/>
  </r>
  <r>
    <x v="1"/>
  </r>
  <r>
    <x v="0"/>
  </r>
  <r>
    <x v="0"/>
  </r>
  <r>
    <x v="0"/>
  </r>
  <r>
    <x v="0"/>
  </r>
  <r>
    <x v="0"/>
  </r>
  <r>
    <x v="0"/>
  </r>
  <r>
    <x v="1"/>
  </r>
  <r>
    <x v="1"/>
  </r>
  <r>
    <x v="0"/>
  </r>
  <r>
    <x v="1"/>
  </r>
  <r>
    <x v="0"/>
  </r>
  <r>
    <x v="0"/>
  </r>
  <r>
    <x v="0"/>
  </r>
  <r>
    <x v="0"/>
  </r>
  <r>
    <x v="0"/>
  </r>
  <r>
    <x v="0"/>
  </r>
  <r>
    <x v="0"/>
  </r>
  <r>
    <x v="1"/>
  </r>
  <r>
    <x v="0"/>
  </r>
  <r>
    <x v="0"/>
  </r>
  <r>
    <x v="0"/>
  </r>
  <r>
    <x v="0"/>
  </r>
  <r>
    <x v="1"/>
  </r>
  <r>
    <x v="0"/>
  </r>
  <r>
    <x v="0"/>
  </r>
  <r>
    <x v="0"/>
  </r>
  <r>
    <x v="0"/>
  </r>
  <r>
    <x v="0"/>
  </r>
  <r>
    <x v="0"/>
  </r>
  <r>
    <x v="1"/>
  </r>
  <r>
    <x v="0"/>
  </r>
  <r>
    <x v="0"/>
  </r>
  <r>
    <x v="1"/>
  </r>
  <r>
    <x v="0"/>
  </r>
  <r>
    <x v="0"/>
  </r>
  <r>
    <x v="1"/>
  </r>
  <r>
    <x v="1"/>
  </r>
  <r>
    <x v="1"/>
  </r>
  <r>
    <x v="1"/>
  </r>
  <r>
    <x v="0"/>
  </r>
  <r>
    <x v="0"/>
  </r>
  <r>
    <x v="0"/>
  </r>
  <r>
    <x v="1"/>
  </r>
  <r>
    <x v="0"/>
  </r>
  <r>
    <x v="1"/>
  </r>
  <r>
    <x v="1"/>
  </r>
  <r>
    <x v="1"/>
  </r>
  <r>
    <x v="0"/>
  </r>
  <r>
    <x v="0"/>
  </r>
  <r>
    <x v="1"/>
  </r>
  <r>
    <x v="0"/>
  </r>
  <r>
    <x v="0"/>
  </r>
  <r>
    <x v="1"/>
  </r>
  <r>
    <x v="0"/>
  </r>
  <r>
    <x v="0"/>
  </r>
  <r>
    <x v="1"/>
  </r>
  <r>
    <x v="0"/>
  </r>
  <r>
    <x v="0"/>
  </r>
  <r>
    <x v="0"/>
  </r>
  <r>
    <x v="0"/>
  </r>
  <r>
    <x v="0"/>
  </r>
  <r>
    <x v="1"/>
  </r>
  <r>
    <x v="0"/>
  </r>
  <r>
    <x v="0"/>
  </r>
  <r>
    <x v="1"/>
  </r>
  <r>
    <x v="0"/>
  </r>
  <r>
    <x v="1"/>
  </r>
  <r>
    <x v="0"/>
  </r>
  <r>
    <x v="0"/>
  </r>
  <r>
    <x v="0"/>
  </r>
  <r>
    <x v="1"/>
  </r>
  <r>
    <x v="0"/>
  </r>
  <r>
    <x v="0"/>
  </r>
  <r>
    <x v="0"/>
  </r>
  <r>
    <x v="1"/>
  </r>
  <r>
    <x v="0"/>
  </r>
  <r>
    <x v="0"/>
  </r>
  <r>
    <x v="0"/>
  </r>
  <r>
    <x v="0"/>
  </r>
  <r>
    <x v="1"/>
  </r>
  <r>
    <x v="1"/>
  </r>
  <r>
    <x v="0"/>
  </r>
  <r>
    <x v="0"/>
  </r>
  <r>
    <x v="1"/>
  </r>
  <r>
    <x v="1"/>
  </r>
  <r>
    <x v="1"/>
  </r>
  <r>
    <x v="0"/>
  </r>
  <r>
    <x v="1"/>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1"/>
  </r>
  <r>
    <x v="1"/>
  </r>
  <r>
    <x v="0"/>
  </r>
  <r>
    <x v="0"/>
  </r>
  <r>
    <x v="1"/>
  </r>
  <r>
    <x v="1"/>
  </r>
  <r>
    <x v="0"/>
  </r>
  <r>
    <x v="1"/>
  </r>
  <r>
    <x v="0"/>
  </r>
  <r>
    <x v="0"/>
  </r>
  <r>
    <x v="0"/>
  </r>
  <r>
    <x v="0"/>
  </r>
  <r>
    <x v="0"/>
  </r>
  <r>
    <x v="0"/>
  </r>
  <r>
    <x v="0"/>
  </r>
  <r>
    <x v="0"/>
  </r>
  <r>
    <x v="1"/>
  </r>
  <r>
    <x v="1"/>
  </r>
  <r>
    <x v="0"/>
  </r>
  <r>
    <x v="1"/>
  </r>
  <r>
    <x v="1"/>
  </r>
  <r>
    <x v="1"/>
  </r>
  <r>
    <x v="1"/>
  </r>
  <r>
    <x v="0"/>
  </r>
  <r>
    <x v="0"/>
  </r>
  <r>
    <x v="0"/>
  </r>
  <r>
    <x v="0"/>
  </r>
  <r>
    <x v="1"/>
  </r>
  <r>
    <x v="0"/>
  </r>
  <r>
    <x v="0"/>
  </r>
  <r>
    <x v="0"/>
  </r>
  <r>
    <x v="0"/>
  </r>
  <r>
    <x v="0"/>
  </r>
  <r>
    <x v="1"/>
  </r>
  <r>
    <x v="0"/>
  </r>
  <r>
    <x v="0"/>
  </r>
  <r>
    <x v="0"/>
  </r>
  <r>
    <x v="1"/>
  </r>
  <r>
    <x v="0"/>
  </r>
  <r>
    <x v="0"/>
  </r>
  <r>
    <x v="0"/>
  </r>
  <r>
    <x v="1"/>
  </r>
  <r>
    <x v="0"/>
  </r>
  <r>
    <x v="0"/>
  </r>
  <r>
    <x v="0"/>
  </r>
  <r>
    <x v="0"/>
  </r>
  <r>
    <x v="0"/>
  </r>
  <r>
    <x v="0"/>
  </r>
  <r>
    <x v="0"/>
  </r>
  <r>
    <x v="0"/>
  </r>
  <r>
    <x v="0"/>
  </r>
  <r>
    <x v="1"/>
  </r>
  <r>
    <x v="0"/>
  </r>
  <r>
    <x v="0"/>
  </r>
  <r>
    <x v="1"/>
  </r>
  <r>
    <x v="0"/>
  </r>
  <r>
    <x v="0"/>
  </r>
  <r>
    <x v="0"/>
  </r>
  <r>
    <x v="1"/>
  </r>
  <r>
    <x v="0"/>
  </r>
  <r>
    <x v="0"/>
  </r>
  <r>
    <x v="1"/>
  </r>
  <r>
    <x v="1"/>
  </r>
  <r>
    <x v="0"/>
  </r>
  <r>
    <x v="0"/>
  </r>
  <r>
    <x v="0"/>
  </r>
  <r>
    <x v="0"/>
  </r>
  <r>
    <x v="0"/>
  </r>
  <r>
    <x v="1"/>
  </r>
  <r>
    <x v="0"/>
  </r>
  <r>
    <x v="1"/>
  </r>
  <r>
    <x v="0"/>
  </r>
  <r>
    <x v="1"/>
  </r>
  <r>
    <x v="0"/>
  </r>
  <r>
    <x v="1"/>
  </r>
  <r>
    <x v="0"/>
  </r>
  <r>
    <x v="0"/>
  </r>
  <r>
    <x v="1"/>
  </r>
  <r>
    <x v="0"/>
  </r>
  <r>
    <x v="1"/>
  </r>
  <r>
    <x v="0"/>
  </r>
  <r>
    <x v="1"/>
  </r>
  <r>
    <x v="0"/>
  </r>
  <r>
    <x v="0"/>
  </r>
  <r>
    <x v="0"/>
  </r>
  <r>
    <x v="0"/>
  </r>
  <r>
    <x v="0"/>
  </r>
  <r>
    <x v="0"/>
  </r>
  <r>
    <x v="1"/>
  </r>
  <r>
    <x v="0"/>
  </r>
  <r>
    <x v="0"/>
  </r>
  <r>
    <x v="0"/>
  </r>
  <r>
    <x v="0"/>
  </r>
  <r>
    <x v="0"/>
  </r>
  <r>
    <x v="0"/>
  </r>
  <r>
    <x v="0"/>
  </r>
  <r>
    <x v="0"/>
  </r>
  <r>
    <x v="0"/>
  </r>
  <r>
    <x v="0"/>
  </r>
  <r>
    <x v="0"/>
  </r>
  <r>
    <x v="0"/>
  </r>
  <r>
    <x v="1"/>
  </r>
  <r>
    <x v="0"/>
  </r>
  <r>
    <x v="0"/>
  </r>
  <r>
    <x v="0"/>
  </r>
  <r>
    <x v="0"/>
  </r>
  <r>
    <x v="0"/>
  </r>
  <r>
    <x v="0"/>
  </r>
  <r>
    <x v="0"/>
  </r>
  <r>
    <x v="0"/>
  </r>
  <r>
    <x v="0"/>
  </r>
  <r>
    <x v="0"/>
  </r>
  <r>
    <x v="0"/>
  </r>
  <r>
    <x v="1"/>
  </r>
  <r>
    <x v="0"/>
  </r>
  <r>
    <x v="0"/>
  </r>
  <r>
    <x v="0"/>
  </r>
  <r>
    <x v="1"/>
  </r>
  <r>
    <x v="0"/>
  </r>
  <r>
    <x v="1"/>
  </r>
  <r>
    <x v="1"/>
  </r>
  <r>
    <x v="0"/>
  </r>
  <r>
    <x v="0"/>
  </r>
  <r>
    <x v="0"/>
  </r>
  <r>
    <x v="0"/>
  </r>
  <r>
    <x v="0"/>
  </r>
  <r>
    <x v="0"/>
  </r>
  <r>
    <x v="0"/>
  </r>
  <r>
    <x v="1"/>
  </r>
  <r>
    <x v="1"/>
  </r>
  <r>
    <x v="1"/>
  </r>
  <r>
    <x v="0"/>
  </r>
  <r>
    <x v="0"/>
  </r>
  <r>
    <x v="1"/>
  </r>
  <r>
    <x v="0"/>
  </r>
  <r>
    <x v="0"/>
  </r>
  <r>
    <x v="0"/>
  </r>
  <r>
    <x v="0"/>
  </r>
  <r>
    <x v="1"/>
  </r>
  <r>
    <x v="0"/>
  </r>
  <r>
    <x v="0"/>
  </r>
  <r>
    <x v="1"/>
  </r>
  <r>
    <x v="1"/>
  </r>
  <r>
    <x v="0"/>
  </r>
  <r>
    <x v="1"/>
  </r>
  <r>
    <x v="1"/>
  </r>
  <r>
    <x v="0"/>
  </r>
  <r>
    <x v="1"/>
  </r>
  <r>
    <x v="0"/>
  </r>
  <r>
    <x v="1"/>
  </r>
  <r>
    <x v="0"/>
  </r>
  <r>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x v="0"/>
  </r>
  <r>
    <x v="0"/>
  </r>
  <r>
    <x v="0"/>
  </r>
  <r>
    <x v="0"/>
  </r>
  <r>
    <x v="1"/>
  </r>
  <r>
    <x v="0"/>
  </r>
  <r>
    <x v="0"/>
  </r>
  <r>
    <x v="0"/>
  </r>
  <r>
    <x v="0"/>
  </r>
  <r>
    <x v="2"/>
  </r>
  <r>
    <x v="0"/>
  </r>
  <r>
    <x v="0"/>
  </r>
  <r>
    <x v="0"/>
  </r>
  <r>
    <x v="0"/>
  </r>
  <r>
    <x v="2"/>
  </r>
  <r>
    <x v="2"/>
  </r>
  <r>
    <x v="2"/>
  </r>
  <r>
    <x v="0"/>
  </r>
  <r>
    <x v="0"/>
  </r>
  <r>
    <x v="0"/>
  </r>
  <r>
    <x v="0"/>
  </r>
  <r>
    <x v="2"/>
  </r>
  <r>
    <x v="0"/>
  </r>
  <r>
    <x v="2"/>
  </r>
  <r>
    <x v="0"/>
  </r>
  <r>
    <x v="0"/>
  </r>
  <r>
    <x v="0"/>
  </r>
  <r>
    <x v="0"/>
  </r>
  <r>
    <x v="1"/>
  </r>
  <r>
    <x v="0"/>
  </r>
  <r>
    <x v="0"/>
  </r>
  <r>
    <x v="2"/>
  </r>
  <r>
    <x v="0"/>
  </r>
  <r>
    <x v="3"/>
  </r>
  <r>
    <x v="0"/>
  </r>
  <r>
    <x v="2"/>
  </r>
  <r>
    <x v="0"/>
  </r>
  <r>
    <x v="0"/>
  </r>
  <r>
    <x v="0"/>
  </r>
  <r>
    <x v="2"/>
  </r>
  <r>
    <x v="0"/>
  </r>
  <r>
    <x v="0"/>
  </r>
  <r>
    <x v="2"/>
  </r>
  <r>
    <x v="2"/>
  </r>
  <r>
    <x v="2"/>
  </r>
  <r>
    <x v="0"/>
  </r>
  <r>
    <x v="0"/>
  </r>
  <r>
    <x v="2"/>
  </r>
  <r>
    <x v="2"/>
  </r>
  <r>
    <x v="0"/>
  </r>
  <r>
    <x v="2"/>
  </r>
  <r>
    <x v="0"/>
  </r>
  <r>
    <x v="0"/>
  </r>
  <r>
    <x v="2"/>
  </r>
  <r>
    <x v="4"/>
  </r>
  <r>
    <x v="2"/>
  </r>
  <r>
    <x v="0"/>
  </r>
  <r>
    <x v="0"/>
  </r>
  <r>
    <x v="0"/>
  </r>
  <r>
    <x v="2"/>
  </r>
  <r>
    <x v="0"/>
  </r>
  <r>
    <x v="2"/>
  </r>
  <r>
    <x v="2"/>
  </r>
  <r>
    <x v="0"/>
  </r>
  <r>
    <x v="0"/>
  </r>
  <r>
    <x v="2"/>
  </r>
  <r>
    <x v="0"/>
  </r>
  <r>
    <x v="0"/>
  </r>
  <r>
    <x v="0"/>
  </r>
  <r>
    <x v="2"/>
  </r>
  <r>
    <x v="2"/>
  </r>
  <r>
    <x v="2"/>
  </r>
  <r>
    <x v="0"/>
  </r>
  <r>
    <x v="0"/>
  </r>
  <r>
    <x v="2"/>
  </r>
  <r>
    <x v="2"/>
  </r>
  <r>
    <x v="0"/>
  </r>
  <r>
    <x v="0"/>
  </r>
  <r>
    <x v="0"/>
  </r>
  <r>
    <x v="2"/>
  </r>
  <r>
    <x v="2"/>
  </r>
  <r>
    <x v="2"/>
  </r>
  <r>
    <x v="0"/>
  </r>
  <r>
    <x v="0"/>
  </r>
  <r>
    <x v="2"/>
  </r>
  <r>
    <x v="0"/>
  </r>
  <r>
    <x v="0"/>
  </r>
  <r>
    <x v="0"/>
  </r>
  <r>
    <x v="0"/>
  </r>
  <r>
    <x v="2"/>
  </r>
  <r>
    <x v="2"/>
  </r>
  <r>
    <x v="3"/>
  </r>
  <r>
    <x v="2"/>
  </r>
  <r>
    <x v="0"/>
  </r>
  <r>
    <x v="0"/>
  </r>
  <r>
    <x v="0"/>
  </r>
  <r>
    <x v="2"/>
  </r>
  <r>
    <x v="2"/>
  </r>
  <r>
    <x v="0"/>
  </r>
  <r>
    <x v="0"/>
  </r>
  <r>
    <x v="0"/>
  </r>
  <r>
    <x v="0"/>
  </r>
  <r>
    <x v="0"/>
  </r>
  <r>
    <x v="0"/>
  </r>
  <r>
    <x v="0"/>
  </r>
  <r>
    <x v="2"/>
  </r>
  <r>
    <x v="0"/>
  </r>
  <r>
    <x v="0"/>
  </r>
  <r>
    <x v="2"/>
  </r>
  <r>
    <x v="2"/>
  </r>
  <r>
    <x v="0"/>
  </r>
  <r>
    <x v="0"/>
  </r>
  <r>
    <x v="0"/>
  </r>
  <r>
    <x v="2"/>
  </r>
  <r>
    <x v="0"/>
  </r>
  <r>
    <x v="0"/>
  </r>
  <r>
    <x v="0"/>
  </r>
  <r>
    <x v="0"/>
  </r>
  <r>
    <x v="0"/>
  </r>
  <r>
    <x v="0"/>
  </r>
  <r>
    <x v="0"/>
  </r>
  <r>
    <x v="0"/>
  </r>
  <r>
    <x v="0"/>
  </r>
  <r>
    <x v="2"/>
  </r>
  <r>
    <x v="4"/>
  </r>
  <r>
    <x v="2"/>
  </r>
  <r>
    <x v="0"/>
  </r>
  <r>
    <x v="2"/>
  </r>
  <r>
    <x v="0"/>
  </r>
  <r>
    <x v="0"/>
  </r>
  <r>
    <x v="0"/>
  </r>
  <r>
    <x v="1"/>
  </r>
  <r>
    <x v="0"/>
  </r>
  <r>
    <x v="0"/>
  </r>
  <r>
    <x v="0"/>
  </r>
  <r>
    <x v="0"/>
  </r>
  <r>
    <x v="0"/>
  </r>
  <r>
    <x v="2"/>
  </r>
  <r>
    <x v="0"/>
  </r>
  <r>
    <x v="2"/>
  </r>
  <r>
    <x v="0"/>
  </r>
  <r>
    <x v="2"/>
  </r>
  <r>
    <x v="0"/>
  </r>
  <r>
    <x v="0"/>
  </r>
  <r>
    <x v="0"/>
  </r>
  <r>
    <x v="2"/>
  </r>
  <r>
    <x v="0"/>
  </r>
  <r>
    <x v="0"/>
  </r>
  <r>
    <x v="0"/>
  </r>
  <r>
    <x v="0"/>
  </r>
  <r>
    <x v="2"/>
  </r>
  <r>
    <x v="2"/>
  </r>
  <r>
    <x v="0"/>
  </r>
  <r>
    <x v="1"/>
  </r>
  <r>
    <x v="2"/>
  </r>
  <r>
    <x v="0"/>
  </r>
  <r>
    <x v="2"/>
  </r>
  <r>
    <x v="0"/>
  </r>
  <r>
    <x v="0"/>
  </r>
  <r>
    <x v="0"/>
  </r>
  <r>
    <x v="2"/>
  </r>
  <r>
    <x v="0"/>
  </r>
  <r>
    <x v="2"/>
  </r>
  <r>
    <x v="0"/>
  </r>
  <r>
    <x v="0"/>
  </r>
  <r>
    <x v="0"/>
  </r>
  <r>
    <x v="2"/>
  </r>
  <r>
    <x v="0"/>
  </r>
  <r>
    <x v="0"/>
  </r>
  <r>
    <x v="0"/>
  </r>
  <r>
    <x v="0"/>
  </r>
  <r>
    <x v="4"/>
  </r>
  <r>
    <x v="4"/>
  </r>
  <r>
    <x v="2"/>
  </r>
  <r>
    <x v="0"/>
  </r>
  <r>
    <x v="0"/>
  </r>
  <r>
    <x v="0"/>
  </r>
  <r>
    <x v="1"/>
  </r>
  <r>
    <x v="0"/>
  </r>
  <r>
    <x v="2"/>
  </r>
  <r>
    <x v="0"/>
  </r>
  <r>
    <x v="1"/>
  </r>
  <r>
    <x v="0"/>
  </r>
  <r>
    <x v="1"/>
  </r>
  <r>
    <x v="0"/>
  </r>
  <r>
    <x v="2"/>
  </r>
  <r>
    <x v="0"/>
  </r>
  <r>
    <x v="1"/>
  </r>
  <r>
    <x v="0"/>
  </r>
  <r>
    <x v="0"/>
  </r>
  <r>
    <x v="2"/>
  </r>
  <r>
    <x v="2"/>
  </r>
  <r>
    <x v="0"/>
  </r>
  <r>
    <x v="2"/>
  </r>
  <r>
    <x v="2"/>
  </r>
  <r>
    <x v="0"/>
  </r>
  <r>
    <x v="2"/>
  </r>
  <r>
    <x v="2"/>
  </r>
  <r>
    <x v="2"/>
  </r>
  <r>
    <x v="3"/>
  </r>
  <r>
    <x v="0"/>
  </r>
  <r>
    <x v="0"/>
  </r>
  <r>
    <x v="2"/>
  </r>
  <r>
    <x v="2"/>
  </r>
  <r>
    <x v="1"/>
  </r>
  <r>
    <x v="0"/>
  </r>
  <r>
    <x v="2"/>
  </r>
  <r>
    <x v="2"/>
  </r>
  <r>
    <x v="2"/>
  </r>
  <r>
    <x v="4"/>
  </r>
  <r>
    <x v="0"/>
  </r>
  <r>
    <x v="1"/>
  </r>
  <r>
    <x v="0"/>
  </r>
  <r>
    <x v="0"/>
  </r>
  <r>
    <x v="2"/>
  </r>
  <r>
    <x v="2"/>
  </r>
  <r>
    <x v="0"/>
  </r>
  <r>
    <x v="0"/>
  </r>
  <r>
    <x v="2"/>
  </r>
  <r>
    <x v="0"/>
  </r>
  <r>
    <x v="2"/>
  </r>
  <r>
    <x v="2"/>
  </r>
  <r>
    <x v="0"/>
  </r>
  <r>
    <x v="0"/>
  </r>
  <r>
    <x v="0"/>
  </r>
  <r>
    <x v="2"/>
  </r>
  <r>
    <x v="0"/>
  </r>
  <r>
    <x v="0"/>
  </r>
  <r>
    <x v="1"/>
  </r>
  <r>
    <x v="0"/>
  </r>
  <r>
    <x v="2"/>
  </r>
  <r>
    <x v="2"/>
  </r>
  <r>
    <x v="0"/>
  </r>
  <r>
    <x v="2"/>
  </r>
  <r>
    <x v="0"/>
  </r>
  <r>
    <x v="0"/>
  </r>
  <r>
    <x v="0"/>
  </r>
  <r>
    <x v="0"/>
  </r>
  <r>
    <x v="2"/>
  </r>
  <r>
    <x v="0"/>
  </r>
  <r>
    <x v="2"/>
  </r>
  <r>
    <x v="0"/>
  </r>
  <r>
    <x v="0"/>
  </r>
  <r>
    <x v="0"/>
  </r>
  <r>
    <x v="0"/>
  </r>
  <r>
    <x v="2"/>
  </r>
  <r>
    <x v="0"/>
  </r>
  <r>
    <x v="1"/>
  </r>
  <r>
    <x v="0"/>
  </r>
  <r>
    <x v="2"/>
  </r>
  <r>
    <x v="0"/>
  </r>
  <r>
    <x v="2"/>
  </r>
  <r>
    <x v="2"/>
  </r>
  <r>
    <x v="2"/>
  </r>
  <r>
    <x v="2"/>
  </r>
  <r>
    <x v="0"/>
  </r>
  <r>
    <x v="0"/>
  </r>
  <r>
    <x v="0"/>
  </r>
  <r>
    <x v="2"/>
  </r>
  <r>
    <x v="0"/>
  </r>
  <r>
    <x v="0"/>
  </r>
  <r>
    <x v="2"/>
  </r>
  <r>
    <x v="2"/>
  </r>
  <r>
    <x v="0"/>
  </r>
  <r>
    <x v="0"/>
  </r>
  <r>
    <x v="0"/>
  </r>
  <r>
    <x v="2"/>
  </r>
  <r>
    <x v="2"/>
  </r>
  <r>
    <x v="4"/>
  </r>
  <r>
    <x v="0"/>
  </r>
  <r>
    <x v="0"/>
  </r>
  <r>
    <x v="2"/>
  </r>
  <r>
    <x v="0"/>
  </r>
  <r>
    <x v="2"/>
  </r>
  <r>
    <x v="0"/>
  </r>
  <r>
    <x v="2"/>
  </r>
  <r>
    <x v="0"/>
  </r>
  <r>
    <x v="0"/>
  </r>
  <r>
    <x v="0"/>
  </r>
  <r>
    <x v="2"/>
  </r>
  <r>
    <x v="0"/>
  </r>
  <r>
    <x v="2"/>
  </r>
  <r>
    <x v="0"/>
  </r>
  <r>
    <x v="0"/>
  </r>
  <r>
    <x v="2"/>
  </r>
  <r>
    <x v="0"/>
  </r>
  <r>
    <x v="0"/>
  </r>
  <r>
    <x v="0"/>
  </r>
  <r>
    <x v="0"/>
  </r>
  <r>
    <x v="0"/>
  </r>
  <r>
    <x v="0"/>
  </r>
  <r>
    <x v="4"/>
  </r>
  <r>
    <x v="2"/>
  </r>
  <r>
    <x v="3"/>
  </r>
  <r>
    <x v="0"/>
  </r>
  <r>
    <x v="2"/>
  </r>
  <r>
    <x v="3"/>
  </r>
  <r>
    <x v="0"/>
  </r>
  <r>
    <x v="0"/>
  </r>
  <r>
    <x v="1"/>
  </r>
  <r>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x v="0"/>
  </r>
  <r>
    <x v="1"/>
  </r>
  <r>
    <x v="1"/>
  </r>
  <r>
    <x v="0"/>
  </r>
  <r>
    <x v="1"/>
  </r>
  <r>
    <x v="1"/>
  </r>
  <r>
    <x v="1"/>
  </r>
  <r>
    <x v="1"/>
  </r>
  <r>
    <x v="1"/>
  </r>
  <r>
    <x v="1"/>
  </r>
  <r>
    <x v="0"/>
  </r>
  <r>
    <x v="0"/>
  </r>
  <r>
    <x v="1"/>
  </r>
  <r>
    <x v="1"/>
  </r>
  <r>
    <x v="1"/>
  </r>
  <r>
    <x v="1"/>
  </r>
  <r>
    <x v="1"/>
  </r>
  <r>
    <x v="1"/>
  </r>
  <r>
    <x v="0"/>
  </r>
  <r>
    <x v="1"/>
  </r>
  <r>
    <x v="1"/>
  </r>
  <r>
    <x v="1"/>
  </r>
  <r>
    <x v="0"/>
  </r>
  <r>
    <x v="1"/>
  </r>
  <r>
    <x v="1"/>
  </r>
  <r>
    <x v="0"/>
  </r>
  <r>
    <x v="1"/>
  </r>
  <r>
    <x v="0"/>
  </r>
  <r>
    <x v="0"/>
  </r>
  <r>
    <x v="1"/>
  </r>
  <r>
    <x v="1"/>
  </r>
  <r>
    <x v="0"/>
  </r>
  <r>
    <x v="1"/>
  </r>
  <r>
    <x v="0"/>
  </r>
  <r>
    <x v="1"/>
  </r>
  <r>
    <x v="0"/>
  </r>
  <r>
    <x v="1"/>
  </r>
  <r>
    <x v="1"/>
  </r>
  <r>
    <x v="1"/>
  </r>
  <r>
    <x v="1"/>
  </r>
  <r>
    <x v="1"/>
  </r>
  <r>
    <x v="1"/>
  </r>
  <r>
    <x v="1"/>
  </r>
  <r>
    <x v="0"/>
  </r>
  <r>
    <x v="1"/>
  </r>
  <r>
    <x v="1"/>
  </r>
  <r>
    <x v="1"/>
  </r>
  <r>
    <x v="1"/>
  </r>
  <r>
    <x v="1"/>
  </r>
  <r>
    <x v="1"/>
  </r>
  <r>
    <x v="1"/>
  </r>
  <r>
    <x v="0"/>
  </r>
  <r>
    <x v="0"/>
  </r>
  <r>
    <x v="0"/>
  </r>
  <r>
    <x v="1"/>
  </r>
  <r>
    <x v="0"/>
  </r>
  <r>
    <x v="1"/>
  </r>
  <r>
    <x v="0"/>
  </r>
  <r>
    <x v="1"/>
  </r>
  <r>
    <x v="1"/>
  </r>
  <r>
    <x v="0"/>
  </r>
  <r>
    <x v="0"/>
  </r>
  <r>
    <x v="1"/>
  </r>
  <r>
    <x v="1"/>
  </r>
  <r>
    <x v="1"/>
  </r>
  <r>
    <x v="0"/>
  </r>
  <r>
    <x v="1"/>
  </r>
  <r>
    <x v="1"/>
  </r>
  <r>
    <x v="0"/>
  </r>
  <r>
    <x v="1"/>
  </r>
  <r>
    <x v="0"/>
  </r>
  <r>
    <x v="1"/>
  </r>
  <r>
    <x v="1"/>
  </r>
  <r>
    <x v="1"/>
  </r>
  <r>
    <x v="1"/>
  </r>
  <r>
    <x v="1"/>
  </r>
  <r>
    <x v="1"/>
  </r>
  <r>
    <x v="1"/>
  </r>
  <r>
    <x v="1"/>
  </r>
  <r>
    <x v="0"/>
  </r>
  <r>
    <x v="1"/>
  </r>
  <r>
    <x v="1"/>
  </r>
  <r>
    <x v="0"/>
  </r>
  <r>
    <x v="1"/>
  </r>
  <r>
    <x v="1"/>
  </r>
  <r>
    <x v="1"/>
  </r>
  <r>
    <x v="1"/>
  </r>
  <r>
    <x v="1"/>
  </r>
  <r>
    <x v="1"/>
  </r>
  <r>
    <x v="1"/>
  </r>
  <r>
    <x v="0"/>
  </r>
  <r>
    <x v="0"/>
  </r>
  <r>
    <x v="1"/>
  </r>
  <r>
    <x v="1"/>
  </r>
  <r>
    <x v="1"/>
  </r>
  <r>
    <x v="1"/>
  </r>
  <r>
    <x v="0"/>
  </r>
  <r>
    <x v="0"/>
  </r>
  <r>
    <x v="1"/>
  </r>
  <r>
    <x v="0"/>
  </r>
  <r>
    <x v="1"/>
  </r>
  <r>
    <x v="1"/>
  </r>
  <r>
    <x v="1"/>
  </r>
  <r>
    <x v="1"/>
  </r>
  <r>
    <x v="0"/>
  </r>
  <r>
    <x v="1"/>
  </r>
  <r>
    <x v="1"/>
  </r>
  <r>
    <x v="0"/>
  </r>
  <r>
    <x v="0"/>
  </r>
  <r>
    <x v="1"/>
  </r>
  <r>
    <x v="1"/>
  </r>
  <r>
    <x v="1"/>
  </r>
  <r>
    <x v="0"/>
  </r>
  <r>
    <x v="0"/>
  </r>
  <r>
    <x v="1"/>
  </r>
  <r>
    <x v="1"/>
  </r>
  <r>
    <x v="1"/>
  </r>
  <r>
    <x v="1"/>
  </r>
  <r>
    <x v="1"/>
  </r>
  <r>
    <x v="1"/>
  </r>
  <r>
    <x v="0"/>
  </r>
  <r>
    <x v="0"/>
  </r>
  <r>
    <x v="0"/>
  </r>
  <r>
    <x v="1"/>
  </r>
  <r>
    <x v="0"/>
  </r>
  <r>
    <x v="1"/>
  </r>
  <r>
    <x v="1"/>
  </r>
  <r>
    <x v="1"/>
  </r>
  <r>
    <x v="1"/>
  </r>
  <r>
    <x v="1"/>
  </r>
  <r>
    <x v="1"/>
  </r>
  <r>
    <x v="0"/>
  </r>
  <r>
    <x v="1"/>
  </r>
  <r>
    <x v="1"/>
  </r>
  <r>
    <x v="0"/>
  </r>
  <r>
    <x v="1"/>
  </r>
  <r>
    <x v="1"/>
  </r>
  <r>
    <x v="0"/>
  </r>
  <r>
    <x v="1"/>
  </r>
  <r>
    <x v="0"/>
  </r>
  <r>
    <x v="0"/>
  </r>
  <r>
    <x v="1"/>
  </r>
  <r>
    <x v="1"/>
  </r>
  <r>
    <x v="1"/>
  </r>
  <r>
    <x v="0"/>
  </r>
  <r>
    <x v="1"/>
  </r>
  <r>
    <x v="1"/>
  </r>
  <r>
    <x v="1"/>
  </r>
  <r>
    <x v="1"/>
  </r>
  <r>
    <x v="1"/>
  </r>
  <r>
    <x v="1"/>
  </r>
  <r>
    <x v="1"/>
  </r>
  <r>
    <x v="1"/>
  </r>
  <r>
    <x v="0"/>
  </r>
  <r>
    <x v="1"/>
  </r>
  <r>
    <x v="0"/>
  </r>
  <r>
    <x v="0"/>
  </r>
  <r>
    <x v="1"/>
  </r>
  <r>
    <x v="1"/>
  </r>
  <r>
    <x v="1"/>
  </r>
  <r>
    <x v="1"/>
  </r>
  <r>
    <x v="1"/>
  </r>
  <r>
    <x v="1"/>
  </r>
  <r>
    <x v="1"/>
  </r>
  <r>
    <x v="0"/>
  </r>
  <r>
    <x v="0"/>
  </r>
  <r>
    <x v="0"/>
  </r>
  <r>
    <x v="1"/>
  </r>
  <r>
    <x v="0"/>
  </r>
  <r>
    <x v="0"/>
  </r>
  <r>
    <x v="1"/>
  </r>
  <r>
    <x v="0"/>
  </r>
  <r>
    <x v="0"/>
  </r>
  <r>
    <x v="1"/>
  </r>
  <r>
    <x v="1"/>
  </r>
  <r>
    <x v="1"/>
  </r>
  <r>
    <x v="1"/>
  </r>
  <r>
    <x v="0"/>
  </r>
  <r>
    <x v="1"/>
  </r>
  <r>
    <x v="1"/>
  </r>
  <r>
    <x v="1"/>
  </r>
  <r>
    <x v="0"/>
  </r>
  <r>
    <x v="1"/>
  </r>
  <r>
    <x v="1"/>
  </r>
  <r>
    <x v="1"/>
  </r>
  <r>
    <x v="1"/>
  </r>
  <r>
    <x v="1"/>
  </r>
  <r>
    <x v="0"/>
  </r>
  <r>
    <x v="1"/>
  </r>
  <r>
    <x v="1"/>
  </r>
  <r>
    <x v="1"/>
  </r>
  <r>
    <x v="1"/>
  </r>
  <r>
    <x v="1"/>
  </r>
  <r>
    <x v="1"/>
  </r>
  <r>
    <x v="0"/>
  </r>
  <r>
    <x v="1"/>
  </r>
  <r>
    <x v="1"/>
  </r>
  <r>
    <x v="1"/>
  </r>
  <r>
    <x v="1"/>
  </r>
  <r>
    <x v="1"/>
  </r>
  <r>
    <x v="1"/>
  </r>
  <r>
    <x v="1"/>
  </r>
  <r>
    <x v="1"/>
  </r>
  <r>
    <x v="1"/>
  </r>
  <r>
    <x v="0"/>
  </r>
  <r>
    <x v="0"/>
  </r>
  <r>
    <x v="0"/>
  </r>
  <r>
    <x v="1"/>
  </r>
  <r>
    <x v="1"/>
  </r>
  <r>
    <x v="0"/>
  </r>
  <r>
    <x v="1"/>
  </r>
  <r>
    <x v="0"/>
  </r>
  <r>
    <x v="1"/>
  </r>
  <r>
    <x v="1"/>
  </r>
  <r>
    <x v="1"/>
  </r>
  <r>
    <x v="1"/>
  </r>
  <r>
    <x v="1"/>
  </r>
  <r>
    <x v="1"/>
  </r>
  <r>
    <x v="1"/>
  </r>
  <r>
    <x v="1"/>
  </r>
  <r>
    <x v="1"/>
  </r>
  <r>
    <x v="1"/>
  </r>
  <r>
    <x v="1"/>
  </r>
  <r>
    <x v="1"/>
  </r>
  <r>
    <x v="1"/>
  </r>
  <r>
    <x v="0"/>
  </r>
  <r>
    <x v="1"/>
  </r>
  <r>
    <x v="1"/>
  </r>
  <r>
    <x v="0"/>
  </r>
  <r>
    <x v="0"/>
  </r>
  <r>
    <x v="1"/>
  </r>
  <r>
    <x v="1"/>
  </r>
  <r>
    <x v="1"/>
  </r>
  <r>
    <x v="1"/>
  </r>
  <r>
    <x v="0"/>
  </r>
  <r>
    <x v="1"/>
  </r>
  <r>
    <x v="0"/>
  </r>
  <r>
    <x v="1"/>
  </r>
  <r>
    <x v="1"/>
  </r>
  <r>
    <x v="0"/>
  </r>
  <r>
    <x v="1"/>
  </r>
  <r>
    <x v="1"/>
  </r>
  <r>
    <x v="1"/>
  </r>
  <r>
    <x v="1"/>
  </r>
  <r>
    <x v="0"/>
  </r>
  <r>
    <x v="1"/>
  </r>
  <r>
    <x v="0"/>
  </r>
  <r>
    <x v="0"/>
  </r>
  <r>
    <x v="1"/>
  </r>
  <r>
    <x v="0"/>
  </r>
  <r>
    <x v="1"/>
  </r>
  <r>
    <x v="1"/>
  </r>
  <r>
    <x v="1"/>
  </r>
  <r>
    <x v="1"/>
  </r>
  <r>
    <x v="0"/>
  </r>
  <r>
    <x v="1"/>
  </r>
  <r>
    <x v="1"/>
  </r>
  <r>
    <x v="0"/>
  </r>
  <r>
    <x v="0"/>
  </r>
  <r>
    <x v="1"/>
  </r>
  <r>
    <x v="1"/>
  </r>
  <r>
    <x v="1"/>
  </r>
  <r>
    <x v="1"/>
  </r>
  <r>
    <x v="1"/>
  </r>
  <r>
    <x v="0"/>
  </r>
  <r>
    <x v="0"/>
  </r>
  <r>
    <x v="1"/>
  </r>
  <r>
    <x v="1"/>
  </r>
  <r>
    <x v="0"/>
  </r>
  <r>
    <x v="0"/>
  </r>
  <r>
    <x v="0"/>
  </r>
  <r>
    <x v="1"/>
  </r>
  <r>
    <x v="1"/>
  </r>
  <r>
    <x v="0"/>
  </r>
  <r>
    <x v="0"/>
  </r>
  <r>
    <x v="0"/>
  </r>
  <r>
    <x v="1"/>
  </r>
  <r>
    <x v="1"/>
  </r>
  <r>
    <x v="1"/>
  </r>
  <r>
    <x v="1"/>
  </r>
  <r>
    <x v="1"/>
  </r>
  <r>
    <x v="1"/>
  </r>
  <r>
    <x v="1"/>
  </r>
  <r>
    <x v="1"/>
  </r>
  <r>
    <x v="1"/>
  </r>
  <r>
    <x v="1"/>
  </r>
  <r>
    <x v="1"/>
  </r>
  <r>
    <x v="0"/>
  </r>
  <r>
    <x v="1"/>
  </r>
  <r>
    <x v="1"/>
  </r>
  <r>
    <x v="0"/>
  </r>
  <r>
    <x v="0"/>
  </r>
  <r>
    <x v="1"/>
  </r>
  <r>
    <x v="1"/>
  </r>
  <r>
    <x v="1"/>
  </r>
  <r>
    <x v="0"/>
  </r>
  <r>
    <x v="0"/>
  </r>
  <r>
    <x v="0"/>
  </r>
  <r>
    <x v="1"/>
  </r>
  <r>
    <x v="1"/>
  </r>
  <r>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x v="0"/>
  </r>
  <r>
    <x v="1"/>
  </r>
  <r>
    <x v="2"/>
  </r>
  <r>
    <x v="0"/>
  </r>
  <r>
    <x v="0"/>
  </r>
  <r>
    <x v="2"/>
  </r>
  <r>
    <x v="2"/>
  </r>
  <r>
    <x v="0"/>
  </r>
  <r>
    <x v="3"/>
  </r>
  <r>
    <x v="0"/>
  </r>
  <r>
    <x v="1"/>
  </r>
  <r>
    <x v="0"/>
  </r>
  <r>
    <x v="0"/>
  </r>
  <r>
    <x v="2"/>
  </r>
  <r>
    <x v="1"/>
  </r>
  <r>
    <x v="2"/>
  </r>
  <r>
    <x v="1"/>
  </r>
  <r>
    <x v="2"/>
  </r>
  <r>
    <x v="1"/>
  </r>
  <r>
    <x v="0"/>
  </r>
  <r>
    <x v="1"/>
  </r>
  <r>
    <x v="2"/>
  </r>
  <r>
    <x v="2"/>
  </r>
  <r>
    <x v="1"/>
  </r>
  <r>
    <x v="0"/>
  </r>
  <r>
    <x v="1"/>
  </r>
  <r>
    <x v="0"/>
  </r>
  <r>
    <x v="0"/>
  </r>
  <r>
    <x v="0"/>
  </r>
  <r>
    <x v="0"/>
  </r>
  <r>
    <x v="0"/>
  </r>
  <r>
    <x v="0"/>
  </r>
  <r>
    <x v="0"/>
  </r>
  <r>
    <x v="0"/>
  </r>
  <r>
    <x v="0"/>
  </r>
  <r>
    <x v="0"/>
  </r>
  <r>
    <x v="0"/>
  </r>
  <r>
    <x v="2"/>
  </r>
  <r>
    <x v="1"/>
  </r>
  <r>
    <x v="1"/>
  </r>
  <r>
    <x v="2"/>
  </r>
  <r>
    <x v="0"/>
  </r>
  <r>
    <x v="1"/>
  </r>
  <r>
    <x v="1"/>
  </r>
  <r>
    <x v="2"/>
  </r>
  <r>
    <x v="2"/>
  </r>
  <r>
    <x v="0"/>
  </r>
  <r>
    <x v="2"/>
  </r>
  <r>
    <x v="1"/>
  </r>
  <r>
    <x v="0"/>
  </r>
  <r>
    <x v="2"/>
  </r>
  <r>
    <x v="2"/>
  </r>
  <r>
    <x v="2"/>
  </r>
  <r>
    <x v="4"/>
  </r>
  <r>
    <x v="1"/>
  </r>
  <r>
    <x v="2"/>
  </r>
  <r>
    <x v="2"/>
  </r>
  <r>
    <x v="1"/>
  </r>
  <r>
    <x v="0"/>
  </r>
  <r>
    <x v="0"/>
  </r>
  <r>
    <x v="1"/>
  </r>
  <r>
    <x v="0"/>
  </r>
  <r>
    <x v="1"/>
  </r>
  <r>
    <x v="0"/>
  </r>
  <r>
    <x v="2"/>
  </r>
  <r>
    <x v="0"/>
  </r>
  <r>
    <x v="3"/>
  </r>
  <r>
    <x v="2"/>
  </r>
  <r>
    <x v="0"/>
  </r>
  <r>
    <x v="2"/>
  </r>
  <r>
    <x v="4"/>
  </r>
  <r>
    <x v="1"/>
  </r>
  <r>
    <x v="1"/>
  </r>
  <r>
    <x v="0"/>
  </r>
  <r>
    <x v="1"/>
  </r>
  <r>
    <x v="0"/>
  </r>
  <r>
    <x v="1"/>
  </r>
  <r>
    <x v="3"/>
  </r>
  <r>
    <x v="1"/>
  </r>
  <r>
    <x v="3"/>
  </r>
  <r>
    <x v="2"/>
  </r>
  <r>
    <x v="0"/>
  </r>
  <r>
    <x v="0"/>
  </r>
  <r>
    <x v="0"/>
  </r>
  <r>
    <x v="0"/>
  </r>
  <r>
    <x v="3"/>
  </r>
  <r>
    <x v="2"/>
  </r>
  <r>
    <x v="2"/>
  </r>
  <r>
    <x v="1"/>
  </r>
  <r>
    <x v="2"/>
  </r>
  <r>
    <x v="2"/>
  </r>
  <r>
    <x v="2"/>
  </r>
  <r>
    <x v="1"/>
  </r>
  <r>
    <x v="0"/>
  </r>
  <r>
    <x v="2"/>
  </r>
  <r>
    <x v="2"/>
  </r>
  <r>
    <x v="4"/>
  </r>
  <r>
    <x v="0"/>
  </r>
  <r>
    <x v="0"/>
  </r>
  <r>
    <x v="1"/>
  </r>
  <r>
    <x v="0"/>
  </r>
  <r>
    <x v="0"/>
  </r>
  <r>
    <x v="1"/>
  </r>
  <r>
    <x v="2"/>
  </r>
  <r>
    <x v="0"/>
  </r>
  <r>
    <x v="0"/>
  </r>
  <r>
    <x v="2"/>
  </r>
  <r>
    <x v="0"/>
  </r>
  <r>
    <x v="2"/>
  </r>
  <r>
    <x v="2"/>
  </r>
  <r>
    <x v="0"/>
  </r>
  <r>
    <x v="1"/>
  </r>
  <r>
    <x v="0"/>
  </r>
  <r>
    <x v="2"/>
  </r>
  <r>
    <x v="4"/>
  </r>
  <r>
    <x v="1"/>
  </r>
  <r>
    <x v="1"/>
  </r>
  <r>
    <x v="2"/>
  </r>
  <r>
    <x v="0"/>
  </r>
  <r>
    <x v="0"/>
  </r>
  <r>
    <x v="0"/>
  </r>
  <r>
    <x v="2"/>
  </r>
  <r>
    <x v="0"/>
  </r>
  <r>
    <x v="0"/>
  </r>
  <r>
    <x v="0"/>
  </r>
  <r>
    <x v="2"/>
  </r>
  <r>
    <x v="2"/>
  </r>
  <r>
    <x v="2"/>
  </r>
  <r>
    <x v="2"/>
  </r>
  <r>
    <x v="4"/>
  </r>
  <r>
    <x v="0"/>
  </r>
  <r>
    <x v="2"/>
  </r>
  <r>
    <x v="2"/>
  </r>
  <r>
    <x v="0"/>
  </r>
  <r>
    <x v="0"/>
  </r>
  <r>
    <x v="0"/>
  </r>
  <r>
    <x v="1"/>
  </r>
  <r>
    <x v="2"/>
  </r>
  <r>
    <x v="0"/>
  </r>
  <r>
    <x v="3"/>
  </r>
  <r>
    <x v="2"/>
  </r>
  <r>
    <x v="1"/>
  </r>
  <r>
    <x v="0"/>
  </r>
  <r>
    <x v="0"/>
  </r>
  <r>
    <x v="2"/>
  </r>
  <r>
    <x v="1"/>
  </r>
  <r>
    <x v="2"/>
  </r>
  <r>
    <x v="0"/>
  </r>
  <r>
    <x v="1"/>
  </r>
  <r>
    <x v="0"/>
  </r>
  <r>
    <x v="0"/>
  </r>
  <r>
    <x v="1"/>
  </r>
  <r>
    <x v="2"/>
  </r>
  <r>
    <x v="2"/>
  </r>
  <r>
    <x v="2"/>
  </r>
  <r>
    <x v="1"/>
  </r>
  <r>
    <x v="0"/>
  </r>
  <r>
    <x v="0"/>
  </r>
  <r>
    <x v="0"/>
  </r>
  <r>
    <x v="2"/>
  </r>
  <r>
    <x v="0"/>
  </r>
  <r>
    <x v="0"/>
  </r>
  <r>
    <x v="1"/>
  </r>
  <r>
    <x v="0"/>
  </r>
  <r>
    <x v="1"/>
  </r>
  <r>
    <x v="1"/>
  </r>
  <r>
    <x v="0"/>
  </r>
  <r>
    <x v="0"/>
  </r>
  <r>
    <x v="1"/>
  </r>
  <r>
    <x v="1"/>
  </r>
  <r>
    <x v="2"/>
  </r>
  <r>
    <x v="0"/>
  </r>
  <r>
    <x v="0"/>
  </r>
  <r>
    <x v="1"/>
  </r>
  <r>
    <x v="1"/>
  </r>
  <r>
    <x v="1"/>
  </r>
  <r>
    <x v="2"/>
  </r>
  <r>
    <x v="0"/>
  </r>
  <r>
    <x v="0"/>
  </r>
  <r>
    <x v="0"/>
  </r>
  <r>
    <x v="4"/>
  </r>
  <r>
    <x v="2"/>
  </r>
  <r>
    <x v="0"/>
  </r>
  <r>
    <x v="0"/>
  </r>
  <r>
    <x v="4"/>
  </r>
  <r>
    <x v="0"/>
  </r>
  <r>
    <x v="1"/>
  </r>
  <r>
    <x v="0"/>
  </r>
  <r>
    <x v="0"/>
  </r>
  <r>
    <x v="2"/>
  </r>
  <r>
    <x v="0"/>
  </r>
  <r>
    <x v="2"/>
  </r>
  <r>
    <x v="0"/>
  </r>
  <r>
    <x v="1"/>
  </r>
  <r>
    <x v="2"/>
  </r>
  <r>
    <x v="0"/>
  </r>
  <r>
    <x v="2"/>
  </r>
  <r>
    <x v="0"/>
  </r>
  <r>
    <x v="2"/>
  </r>
  <r>
    <x v="3"/>
  </r>
  <r>
    <x v="1"/>
  </r>
  <r>
    <x v="1"/>
  </r>
  <r>
    <x v="0"/>
  </r>
  <r>
    <x v="0"/>
  </r>
  <r>
    <x v="0"/>
  </r>
  <r>
    <x v="1"/>
  </r>
  <r>
    <x v="2"/>
  </r>
  <r>
    <x v="3"/>
  </r>
  <r>
    <x v="2"/>
  </r>
  <r>
    <x v="0"/>
  </r>
  <r>
    <x v="0"/>
  </r>
  <r>
    <x v="1"/>
  </r>
  <r>
    <x v="1"/>
  </r>
  <r>
    <x v="2"/>
  </r>
  <r>
    <x v="0"/>
  </r>
  <r>
    <x v="0"/>
  </r>
  <r>
    <x v="0"/>
  </r>
  <r>
    <x v="0"/>
  </r>
  <r>
    <x v="2"/>
  </r>
  <r>
    <x v="2"/>
  </r>
  <r>
    <x v="0"/>
  </r>
  <r>
    <x v="1"/>
  </r>
  <r>
    <x v="0"/>
  </r>
  <r>
    <x v="1"/>
  </r>
  <r>
    <x v="3"/>
  </r>
  <r>
    <x v="0"/>
  </r>
  <r>
    <x v="0"/>
  </r>
  <r>
    <x v="0"/>
  </r>
  <r>
    <x v="0"/>
  </r>
  <r>
    <x v="1"/>
  </r>
  <r>
    <x v="1"/>
  </r>
  <r>
    <x v="1"/>
  </r>
  <r>
    <x v="0"/>
  </r>
  <r>
    <x v="1"/>
  </r>
  <r>
    <x v="0"/>
  </r>
  <r>
    <x v="0"/>
  </r>
  <r>
    <x v="1"/>
  </r>
  <r>
    <x v="0"/>
  </r>
  <r>
    <x v="1"/>
  </r>
  <r>
    <x v="0"/>
  </r>
  <r>
    <x v="2"/>
  </r>
  <r>
    <x v="1"/>
  </r>
  <r>
    <x v="0"/>
  </r>
  <r>
    <x v="0"/>
  </r>
  <r>
    <x v="1"/>
  </r>
  <r>
    <x v="2"/>
  </r>
  <r>
    <x v="0"/>
  </r>
  <r>
    <x v="0"/>
  </r>
  <r>
    <x v="0"/>
  </r>
  <r>
    <x v="0"/>
  </r>
  <r>
    <x v="0"/>
  </r>
  <r>
    <x v="2"/>
  </r>
  <r>
    <x v="1"/>
  </r>
  <r>
    <x v="2"/>
  </r>
  <r>
    <x v="1"/>
  </r>
  <r>
    <x v="1"/>
  </r>
  <r>
    <x v="0"/>
  </r>
  <r>
    <x v="2"/>
  </r>
  <r>
    <x v="3"/>
  </r>
  <r>
    <x v="2"/>
  </r>
  <r>
    <x v="1"/>
  </r>
  <r>
    <x v="0"/>
  </r>
  <r>
    <x v="1"/>
  </r>
  <r>
    <x v="2"/>
  </r>
  <r>
    <x v="2"/>
  </r>
  <r>
    <x v="0"/>
  </r>
  <r>
    <x v="0"/>
  </r>
  <r>
    <x v="2"/>
  </r>
  <r>
    <x v="0"/>
  </r>
  <r>
    <x v="1"/>
  </r>
  <r>
    <x v="1"/>
  </r>
  <r>
    <x v="0"/>
  </r>
  <r>
    <x v="0"/>
  </r>
  <r>
    <x v="3"/>
  </r>
  <r>
    <x v="0"/>
  </r>
  <r>
    <x v="0"/>
  </r>
  <r>
    <x v="2"/>
  </r>
  <r>
    <x v="0"/>
  </r>
  <r>
    <x v="1"/>
  </r>
  <r>
    <x v="2"/>
  </r>
  <r>
    <x v="0"/>
  </r>
  <r>
    <x v="1"/>
  </r>
  <r>
    <x v="1"/>
  </r>
  <r>
    <x v="0"/>
  </r>
  <r>
    <x v="0"/>
  </r>
  <r>
    <x v="1"/>
  </r>
  <r>
    <x v="0"/>
  </r>
  <r>
    <x v="0"/>
  </r>
  <r>
    <x v="1"/>
  </r>
  <r>
    <x v="0"/>
  </r>
  <r>
    <x v="0"/>
  </r>
  <r>
    <x v="0"/>
  </r>
  <r>
    <x v="0"/>
  </r>
  <r>
    <x v="0"/>
  </r>
  <r>
    <x v="2"/>
  </r>
  <r>
    <x v="0"/>
  </r>
  <r>
    <x v="4"/>
  </r>
  <r>
    <x v="0"/>
  </r>
  <r>
    <x v="0"/>
  </r>
  <r>
    <x v="0"/>
  </r>
  <r>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C53CE8-8BE8-4FEE-BF4B-BEEA15A8DB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B75" firstHeaderRow="1" firstDataRow="1" firstDataCol="1"/>
  <pivotFields count="1">
    <pivotField axis="axisRow" dataField="1" showAll="0">
      <items count="4">
        <item x="0"/>
        <item x="1"/>
        <item n=" " x="2"/>
        <item t="default"/>
      </items>
    </pivotField>
  </pivotFields>
  <rowFields count="1">
    <field x="0"/>
  </rowFields>
  <rowItems count="4">
    <i>
      <x/>
    </i>
    <i>
      <x v="1"/>
    </i>
    <i>
      <x v="2"/>
    </i>
    <i t="grand">
      <x/>
    </i>
  </rowItems>
  <colItems count="1">
    <i/>
  </colItems>
  <dataFields count="1">
    <dataField name="Count of Farm record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311074-47BF-4F65-A0B6-36F280569F21}"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6:B113" firstHeaderRow="1" firstDataRow="1" firstDataCol="1"/>
  <pivotFields count="1">
    <pivotField axis="axisRow" dataField="1" showAll="0">
      <items count="7">
        <item x="2"/>
        <item x="3"/>
        <item x="1"/>
        <item x="0"/>
        <item x="4"/>
        <item n=" " x="5"/>
        <item t="default"/>
      </items>
    </pivotField>
  </pivotFields>
  <rowFields count="1">
    <field x="0"/>
  </rowFields>
  <rowItems count="7">
    <i>
      <x/>
    </i>
    <i>
      <x v="1"/>
    </i>
    <i>
      <x v="2"/>
    </i>
    <i>
      <x v="3"/>
    </i>
    <i>
      <x v="4"/>
    </i>
    <i>
      <x v="5"/>
    </i>
    <i t="grand">
      <x/>
    </i>
  </rowItems>
  <colItems count="1">
    <i/>
  </colItems>
  <dataFields count="1">
    <dataField name="Count of Advisor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222E3A-D3C2-4A7B-959C-42FC8C1F2E4F}"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7:B101" firstHeaderRow="1" firstDataRow="1" firstDataCol="1"/>
  <pivotFields count="1">
    <pivotField axis="axisRow" dataField="1" showAll="0">
      <items count="4">
        <item x="1"/>
        <item x="0"/>
        <item n=" " x="2"/>
        <item t="default"/>
      </items>
    </pivotField>
  </pivotFields>
  <rowFields count="1">
    <field x="0"/>
  </rowFields>
  <rowItems count="4">
    <i>
      <x/>
    </i>
    <i>
      <x v="1"/>
    </i>
    <i>
      <x v="2"/>
    </i>
    <i t="grand">
      <x/>
    </i>
  </rowItems>
  <colItems count="1">
    <i/>
  </colItems>
  <dataFields count="1">
    <dataField name="Count of Sex"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D242CF-5E4F-4F1F-9453-EA13104F4EB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2:B89" firstHeaderRow="1" firstDataRow="1" firstDataCol="1"/>
  <pivotFields count="1">
    <pivotField axis="axisRow" dataField="1" showAll="0">
      <items count="7">
        <item x="1"/>
        <item x="3"/>
        <item x="4"/>
        <item x="0"/>
        <item x="2"/>
        <item n=" " x="5"/>
        <item t="default"/>
      </items>
    </pivotField>
  </pivotFields>
  <rowFields count="1">
    <field x="0"/>
  </rowFields>
  <rowItems count="7">
    <i>
      <x/>
    </i>
    <i>
      <x v="1"/>
    </i>
    <i>
      <x v="2"/>
    </i>
    <i>
      <x v="3"/>
    </i>
    <i>
      <x v="4"/>
    </i>
    <i>
      <x v="5"/>
    </i>
    <i t="grand">
      <x/>
    </i>
  </rowItems>
  <colItems count="1">
    <i/>
  </colItems>
  <dataFields count="1">
    <dataField name="Count of Educa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1F580-8943-B04D-AB0B-ED637D2751F8}">
  <dimension ref="A1:C16"/>
  <sheetViews>
    <sheetView topLeftCell="A2" zoomScale="130" zoomScaleNormal="130" workbookViewId="0">
      <selection activeCell="F7" sqref="F7"/>
    </sheetView>
  </sheetViews>
  <sheetFormatPr defaultColWidth="10.58203125" defaultRowHeight="16" x14ac:dyDescent="0.4"/>
  <cols>
    <col min="1" max="1" width="15.08203125" customWidth="1"/>
    <col min="2" max="2" width="17" customWidth="1"/>
    <col min="3" max="3" width="78.5" customWidth="1"/>
  </cols>
  <sheetData>
    <row r="1" spans="1:3" x14ac:dyDescent="0.4">
      <c r="A1" s="1" t="s">
        <v>0</v>
      </c>
    </row>
    <row r="2" spans="1:3" x14ac:dyDescent="0.4">
      <c r="A2" t="s">
        <v>1</v>
      </c>
    </row>
    <row r="3" spans="1:3" x14ac:dyDescent="0.4">
      <c r="A3" t="s">
        <v>2</v>
      </c>
    </row>
    <row r="5" spans="1:3" x14ac:dyDescent="0.4">
      <c r="A5" s="6" t="s">
        <v>3</v>
      </c>
      <c r="B5" s="6" t="s">
        <v>4</v>
      </c>
      <c r="C5" s="6" t="s">
        <v>5</v>
      </c>
    </row>
    <row r="6" spans="1:3" x14ac:dyDescent="0.4">
      <c r="A6" s="7" t="s">
        <v>6</v>
      </c>
      <c r="B6" t="s">
        <v>7</v>
      </c>
      <c r="C6" t="s">
        <v>8</v>
      </c>
    </row>
    <row r="7" spans="1:3" x14ac:dyDescent="0.4">
      <c r="A7" s="7" t="s">
        <v>9</v>
      </c>
      <c r="B7" t="s">
        <v>10</v>
      </c>
      <c r="C7" t="s">
        <v>11</v>
      </c>
    </row>
    <row r="8" spans="1:3" x14ac:dyDescent="0.4">
      <c r="A8" s="7" t="s">
        <v>12</v>
      </c>
      <c r="B8" t="s">
        <v>13</v>
      </c>
      <c r="C8" t="s">
        <v>14</v>
      </c>
    </row>
    <row r="9" spans="1:3" x14ac:dyDescent="0.4">
      <c r="A9" s="7" t="s">
        <v>15</v>
      </c>
      <c r="B9" t="s">
        <v>10</v>
      </c>
      <c r="C9" t="s">
        <v>16</v>
      </c>
    </row>
    <row r="10" spans="1:3" x14ac:dyDescent="0.4">
      <c r="A10" s="7" t="s">
        <v>17</v>
      </c>
      <c r="B10" t="s">
        <v>13</v>
      </c>
      <c r="C10" t="s">
        <v>18</v>
      </c>
    </row>
    <row r="11" spans="1:3" x14ac:dyDescent="0.4">
      <c r="A11" s="7" t="s">
        <v>19</v>
      </c>
      <c r="B11" t="s">
        <v>13</v>
      </c>
      <c r="C11" t="s">
        <v>20</v>
      </c>
    </row>
    <row r="12" spans="1:3" x14ac:dyDescent="0.4">
      <c r="A12" s="7" t="s">
        <v>21</v>
      </c>
      <c r="B12" t="s">
        <v>13</v>
      </c>
      <c r="C12" t="s">
        <v>22</v>
      </c>
    </row>
    <row r="13" spans="1:3" x14ac:dyDescent="0.4">
      <c r="A13" s="7" t="s">
        <v>23</v>
      </c>
      <c r="B13" t="s">
        <v>13</v>
      </c>
      <c r="C13" t="s">
        <v>24</v>
      </c>
    </row>
    <row r="14" spans="1:3" x14ac:dyDescent="0.4">
      <c r="A14" s="7" t="s">
        <v>25</v>
      </c>
      <c r="B14" t="s">
        <v>10</v>
      </c>
      <c r="C14" t="s">
        <v>26</v>
      </c>
    </row>
    <row r="15" spans="1:3" x14ac:dyDescent="0.4">
      <c r="A15" s="7" t="s">
        <v>27</v>
      </c>
      <c r="B15" t="s">
        <v>10</v>
      </c>
      <c r="C15" t="s">
        <v>28</v>
      </c>
    </row>
    <row r="16" spans="1:3" x14ac:dyDescent="0.4">
      <c r="A16" s="7" t="s">
        <v>29</v>
      </c>
      <c r="B16" t="s">
        <v>13</v>
      </c>
      <c r="C16" t="s">
        <v>30</v>
      </c>
    </row>
  </sheetData>
  <conditionalFormatting sqref="A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9EF68-F710-0B45-AC89-374CF6C335E1}">
  <dimension ref="A1:I21"/>
  <sheetViews>
    <sheetView workbookViewId="0">
      <selection activeCell="E4" sqref="E4"/>
    </sheetView>
  </sheetViews>
  <sheetFormatPr defaultRowHeight="16" x14ac:dyDescent="0.4"/>
  <cols>
    <col min="2" max="4" width="8.83203125" bestFit="1" customWidth="1"/>
    <col min="5" max="5" width="11.75" bestFit="1" customWidth="1"/>
    <col min="6" max="6" width="11.83203125" bestFit="1" customWidth="1"/>
    <col min="7" max="7" width="8.83203125" bestFit="1" customWidth="1"/>
  </cols>
  <sheetData>
    <row r="1" spans="1:9" x14ac:dyDescent="0.4">
      <c r="A1" t="s">
        <v>521</v>
      </c>
    </row>
    <row r="2" spans="1:9" ht="16.5" thickBot="1" x14ac:dyDescent="0.45"/>
    <row r="3" spans="1:9" x14ac:dyDescent="0.4">
      <c r="A3" s="10" t="s">
        <v>522</v>
      </c>
      <c r="B3" s="10"/>
    </row>
    <row r="4" spans="1:9" x14ac:dyDescent="0.4">
      <c r="A4" t="s">
        <v>523</v>
      </c>
      <c r="B4">
        <v>0.35100232874929999</v>
      </c>
      <c r="D4" t="s">
        <v>483</v>
      </c>
      <c r="E4">
        <f>1/(1-0.12320263)</f>
        <v>1.1405143699279117</v>
      </c>
      <c r="F4" t="s">
        <v>541</v>
      </c>
    </row>
    <row r="5" spans="1:9" x14ac:dyDescent="0.4">
      <c r="A5" t="s">
        <v>524</v>
      </c>
      <c r="B5">
        <v>0.12320263478743167</v>
      </c>
    </row>
    <row r="6" spans="1:9" x14ac:dyDescent="0.4">
      <c r="A6" t="s">
        <v>525</v>
      </c>
      <c r="B6">
        <v>0.11479210850241903</v>
      </c>
    </row>
    <row r="7" spans="1:9" x14ac:dyDescent="0.4">
      <c r="A7" t="s">
        <v>469</v>
      </c>
      <c r="B7">
        <v>12.471680049854536</v>
      </c>
    </row>
    <row r="8" spans="1:9" ht="16.5" thickBot="1" x14ac:dyDescent="0.45">
      <c r="A8" s="2" t="s">
        <v>526</v>
      </c>
      <c r="B8" s="2">
        <v>422</v>
      </c>
    </row>
    <row r="10" spans="1:9" ht="16.5" thickBot="1" x14ac:dyDescent="0.45">
      <c r="A10" t="s">
        <v>508</v>
      </c>
    </row>
    <row r="11" spans="1:9" x14ac:dyDescent="0.4">
      <c r="A11" s="10"/>
      <c r="B11" s="10" t="s">
        <v>511</v>
      </c>
      <c r="C11" s="10" t="s">
        <v>510</v>
      </c>
      <c r="D11" s="10" t="s">
        <v>512</v>
      </c>
      <c r="E11" s="10" t="s">
        <v>513</v>
      </c>
      <c r="F11" s="10" t="s">
        <v>530</v>
      </c>
    </row>
    <row r="12" spans="1:9" x14ac:dyDescent="0.4">
      <c r="A12" t="s">
        <v>527</v>
      </c>
      <c r="B12">
        <v>4</v>
      </c>
      <c r="C12">
        <v>9113.9519859704378</v>
      </c>
      <c r="D12">
        <v>2278.4879964926095</v>
      </c>
      <c r="E12">
        <v>14.648623714187277</v>
      </c>
      <c r="F12">
        <v>3.3174369165598956E-11</v>
      </c>
    </row>
    <row r="13" spans="1:9" x14ac:dyDescent="0.4">
      <c r="A13" t="s">
        <v>528</v>
      </c>
      <c r="B13">
        <v>417</v>
      </c>
      <c r="C13">
        <v>64861.348961896823</v>
      </c>
      <c r="D13">
        <v>155.54280326593963</v>
      </c>
    </row>
    <row r="14" spans="1:9" ht="16.5" thickBot="1" x14ac:dyDescent="0.45">
      <c r="A14" s="2" t="s">
        <v>518</v>
      </c>
      <c r="B14" s="2">
        <v>421</v>
      </c>
      <c r="C14" s="2">
        <v>73975.300947867261</v>
      </c>
      <c r="D14" s="2"/>
      <c r="E14" s="2"/>
      <c r="F14" s="2"/>
    </row>
    <row r="15" spans="1:9" ht="16.5" thickBot="1" x14ac:dyDescent="0.45"/>
    <row r="16" spans="1:9" x14ac:dyDescent="0.4">
      <c r="A16" s="10"/>
      <c r="B16" s="10" t="s">
        <v>531</v>
      </c>
      <c r="C16" s="10" t="s">
        <v>469</v>
      </c>
      <c r="D16" s="10" t="s">
        <v>532</v>
      </c>
      <c r="E16" s="10" t="s">
        <v>514</v>
      </c>
      <c r="F16" s="10" t="s">
        <v>533</v>
      </c>
      <c r="G16" s="10" t="s">
        <v>534</v>
      </c>
      <c r="H16" s="10" t="s">
        <v>535</v>
      </c>
      <c r="I16" s="10" t="s">
        <v>536</v>
      </c>
    </row>
    <row r="17" spans="1:9" x14ac:dyDescent="0.4">
      <c r="A17" t="s">
        <v>529</v>
      </c>
      <c r="B17">
        <v>53.315747699352443</v>
      </c>
      <c r="C17">
        <v>2.7429480779011555</v>
      </c>
      <c r="D17">
        <v>19.43738859984127</v>
      </c>
      <c r="E17">
        <v>2.2141018576423692E-60</v>
      </c>
      <c r="F17">
        <v>47.924019279048395</v>
      </c>
      <c r="G17">
        <v>58.707476119656491</v>
      </c>
      <c r="H17">
        <v>47.924019279048395</v>
      </c>
      <c r="I17">
        <v>58.707476119656491</v>
      </c>
    </row>
    <row r="18" spans="1:9" x14ac:dyDescent="0.4">
      <c r="A18" t="s">
        <v>537</v>
      </c>
      <c r="B18">
        <v>-1.0006644124943529</v>
      </c>
      <c r="C18">
        <v>0.35775891385197295</v>
      </c>
      <c r="D18">
        <v>-2.7970355838803496</v>
      </c>
      <c r="E18">
        <v>5.3961430637673386E-3</v>
      </c>
      <c r="F18">
        <v>-1.7039000730500466</v>
      </c>
      <c r="G18">
        <v>-0.2974287519386592</v>
      </c>
      <c r="H18">
        <v>-1.7039000730500466</v>
      </c>
      <c r="I18">
        <v>-0.2974287519386592</v>
      </c>
    </row>
    <row r="19" spans="1:9" x14ac:dyDescent="0.4">
      <c r="A19" t="s">
        <v>538</v>
      </c>
      <c r="B19">
        <v>-8.1882159999908612</v>
      </c>
      <c r="C19">
        <v>1.1503573116022132</v>
      </c>
      <c r="D19">
        <v>-7.1179762299996563</v>
      </c>
      <c r="E19">
        <v>4.8184489471744921E-12</v>
      </c>
      <c r="F19">
        <v>-10.449437880361328</v>
      </c>
      <c r="G19">
        <v>-5.9269941196203941</v>
      </c>
      <c r="H19">
        <v>-10.449437880361328</v>
      </c>
      <c r="I19">
        <v>-5.9269941196203941</v>
      </c>
    </row>
    <row r="20" spans="1:9" x14ac:dyDescent="0.4">
      <c r="A20" t="s">
        <v>539</v>
      </c>
      <c r="B20">
        <v>1.8271164482915554E-2</v>
      </c>
      <c r="C20">
        <v>9.4205597174143209E-3</v>
      </c>
      <c r="D20">
        <v>1.9394988228927097</v>
      </c>
      <c r="E20">
        <v>5.311470321485446E-2</v>
      </c>
      <c r="F20">
        <v>-2.4653914143450212E-4</v>
      </c>
      <c r="G20">
        <v>3.6788868107265608E-2</v>
      </c>
      <c r="H20">
        <v>-2.4653914143450212E-4</v>
      </c>
      <c r="I20">
        <v>3.6788868107265608E-2</v>
      </c>
    </row>
    <row r="21" spans="1:9" ht="16.5" thickBot="1" x14ac:dyDescent="0.45">
      <c r="A21" s="2" t="s">
        <v>540</v>
      </c>
      <c r="B21" s="2">
        <v>0.5339724636854043</v>
      </c>
      <c r="C21" s="2">
        <v>0.62724520556927421</v>
      </c>
      <c r="D21" s="2">
        <v>0.85129780019726486</v>
      </c>
      <c r="E21" s="2">
        <v>0.39509253381426379</v>
      </c>
      <c r="F21" s="2">
        <v>-0.69898408719290972</v>
      </c>
      <c r="G21" s="2">
        <v>1.7669290145637182</v>
      </c>
      <c r="H21" s="2">
        <v>-0.69898408719290972</v>
      </c>
      <c r="I21" s="2">
        <v>1.7669290145637182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A4890-2244-4749-827F-08B61B7834E8}">
  <dimension ref="A1:L423"/>
  <sheetViews>
    <sheetView zoomScale="110" zoomScaleNormal="110" workbookViewId="0"/>
  </sheetViews>
  <sheetFormatPr defaultColWidth="10.58203125" defaultRowHeight="16" x14ac:dyDescent="0.4"/>
  <cols>
    <col min="1" max="1" width="10.58203125" customWidth="1"/>
    <col min="3" max="3" width="14" customWidth="1"/>
    <col min="4" max="4" width="16" bestFit="1" customWidth="1"/>
    <col min="5" max="5" width="16.08203125" customWidth="1"/>
    <col min="12" max="12" width="13" customWidth="1"/>
  </cols>
  <sheetData>
    <row r="1" spans="1:12" x14ac:dyDescent="0.4">
      <c r="A1" s="1" t="s">
        <v>6</v>
      </c>
      <c r="B1" s="1" t="s">
        <v>9</v>
      </c>
      <c r="C1" s="1" t="s">
        <v>15</v>
      </c>
      <c r="D1" s="1" t="s">
        <v>25</v>
      </c>
      <c r="E1" s="1" t="s">
        <v>27</v>
      </c>
      <c r="F1" s="1" t="s">
        <v>31</v>
      </c>
      <c r="G1" s="1" t="s">
        <v>29</v>
      </c>
      <c r="H1" s="1" t="s">
        <v>17</v>
      </c>
      <c r="I1" s="1" t="s">
        <v>19</v>
      </c>
      <c r="J1" s="1" t="s">
        <v>21</v>
      </c>
      <c r="K1" s="1" t="s">
        <v>23</v>
      </c>
      <c r="L1" s="1" t="s">
        <v>12</v>
      </c>
    </row>
    <row r="2" spans="1:12" x14ac:dyDescent="0.4">
      <c r="A2" t="s">
        <v>32</v>
      </c>
      <c r="B2" t="s">
        <v>33</v>
      </c>
      <c r="C2" t="s">
        <v>34</v>
      </c>
      <c r="D2" t="s">
        <v>35</v>
      </c>
      <c r="E2" t="s">
        <v>36</v>
      </c>
      <c r="F2">
        <f t="shared" ref="F2:F65" ca="1" si="0">RAND()</f>
        <v>7.0426450670717511E-2</v>
      </c>
      <c r="G2">
        <v>100</v>
      </c>
      <c r="H2">
        <v>3</v>
      </c>
      <c r="I2">
        <v>0.25</v>
      </c>
      <c r="J2">
        <v>70</v>
      </c>
      <c r="K2">
        <v>2</v>
      </c>
      <c r="L2">
        <v>65</v>
      </c>
    </row>
    <row r="3" spans="1:12" x14ac:dyDescent="0.4">
      <c r="A3" t="s">
        <v>37</v>
      </c>
      <c r="B3" t="s">
        <v>38</v>
      </c>
      <c r="C3" t="s">
        <v>34</v>
      </c>
      <c r="D3" t="s">
        <v>39</v>
      </c>
      <c r="E3" t="s">
        <v>36</v>
      </c>
      <c r="F3">
        <f t="shared" ca="1" si="0"/>
        <v>0.42419965828258543</v>
      </c>
      <c r="G3">
        <v>100</v>
      </c>
      <c r="H3">
        <v>5</v>
      </c>
      <c r="I3">
        <v>0.5</v>
      </c>
      <c r="J3">
        <v>50</v>
      </c>
      <c r="K3">
        <v>2</v>
      </c>
      <c r="L3">
        <v>58</v>
      </c>
    </row>
    <row r="4" spans="1:12" x14ac:dyDescent="0.4">
      <c r="A4" t="s">
        <v>40</v>
      </c>
      <c r="B4" t="s">
        <v>38</v>
      </c>
      <c r="C4" t="s">
        <v>34</v>
      </c>
      <c r="D4" t="s">
        <v>41</v>
      </c>
      <c r="E4" t="s">
        <v>42</v>
      </c>
      <c r="F4">
        <f t="shared" ca="1" si="0"/>
        <v>0.257476598927874</v>
      </c>
      <c r="G4">
        <v>450</v>
      </c>
      <c r="H4">
        <v>5</v>
      </c>
      <c r="I4">
        <v>1.5</v>
      </c>
      <c r="J4">
        <v>50</v>
      </c>
      <c r="K4">
        <v>2</v>
      </c>
      <c r="L4">
        <v>20</v>
      </c>
    </row>
    <row r="5" spans="1:12" x14ac:dyDescent="0.4">
      <c r="A5" t="s">
        <v>43</v>
      </c>
      <c r="B5" t="s">
        <v>33</v>
      </c>
      <c r="C5" t="s">
        <v>34</v>
      </c>
      <c r="D5" t="s">
        <v>35</v>
      </c>
      <c r="E5" t="s">
        <v>36</v>
      </c>
      <c r="F5">
        <f t="shared" ca="1" si="0"/>
        <v>0.11029285345362749</v>
      </c>
      <c r="G5">
        <v>360</v>
      </c>
      <c r="H5">
        <v>6</v>
      </c>
      <c r="I5">
        <v>1</v>
      </c>
      <c r="J5">
        <v>50</v>
      </c>
      <c r="K5">
        <v>5</v>
      </c>
      <c r="L5">
        <v>28</v>
      </c>
    </row>
    <row r="6" spans="1:12" x14ac:dyDescent="0.4">
      <c r="A6" t="s">
        <v>44</v>
      </c>
      <c r="B6" t="s">
        <v>38</v>
      </c>
      <c r="C6" t="s">
        <v>45</v>
      </c>
      <c r="D6" t="s">
        <v>35</v>
      </c>
      <c r="E6" t="s">
        <v>36</v>
      </c>
      <c r="F6">
        <f t="shared" ca="1" si="0"/>
        <v>0.13586728149067984</v>
      </c>
      <c r="G6">
        <v>135</v>
      </c>
      <c r="H6">
        <v>6</v>
      </c>
      <c r="I6">
        <v>0.25</v>
      </c>
      <c r="J6">
        <v>45</v>
      </c>
      <c r="K6">
        <v>6</v>
      </c>
      <c r="L6">
        <v>53</v>
      </c>
    </row>
    <row r="7" spans="1:12" x14ac:dyDescent="0.4">
      <c r="A7" t="s">
        <v>46</v>
      </c>
      <c r="B7" t="s">
        <v>38</v>
      </c>
      <c r="C7" t="s">
        <v>34</v>
      </c>
      <c r="D7" t="s">
        <v>41</v>
      </c>
      <c r="E7" t="s">
        <v>36</v>
      </c>
      <c r="F7">
        <f t="shared" ca="1" si="0"/>
        <v>0.78638415545837748</v>
      </c>
      <c r="G7">
        <v>550</v>
      </c>
      <c r="H7">
        <v>5</v>
      </c>
      <c r="I7">
        <v>2</v>
      </c>
      <c r="J7">
        <v>50</v>
      </c>
      <c r="K7">
        <v>2</v>
      </c>
      <c r="L7">
        <v>20</v>
      </c>
    </row>
    <row r="8" spans="1:12" x14ac:dyDescent="0.4">
      <c r="A8" t="s">
        <v>47</v>
      </c>
      <c r="B8" t="s">
        <v>38</v>
      </c>
      <c r="C8" t="s">
        <v>34</v>
      </c>
      <c r="D8" t="s">
        <v>41</v>
      </c>
      <c r="E8" t="s">
        <v>42</v>
      </c>
      <c r="F8">
        <f t="shared" ca="1" si="0"/>
        <v>0.79413406553238608</v>
      </c>
      <c r="G8">
        <v>360</v>
      </c>
      <c r="H8">
        <v>4</v>
      </c>
      <c r="I8">
        <v>0.5</v>
      </c>
      <c r="J8">
        <v>100</v>
      </c>
      <c r="K8">
        <v>4</v>
      </c>
      <c r="L8">
        <v>40</v>
      </c>
    </row>
    <row r="9" spans="1:12" x14ac:dyDescent="0.4">
      <c r="A9" t="s">
        <v>48</v>
      </c>
      <c r="B9" t="s">
        <v>38</v>
      </c>
      <c r="C9" t="s">
        <v>34</v>
      </c>
      <c r="D9" t="s">
        <v>35</v>
      </c>
      <c r="E9" t="s">
        <v>36</v>
      </c>
      <c r="F9">
        <f t="shared" ca="1" si="0"/>
        <v>0.25305887350149736</v>
      </c>
      <c r="G9">
        <v>270</v>
      </c>
      <c r="H9">
        <v>5</v>
      </c>
      <c r="I9">
        <v>0.25</v>
      </c>
      <c r="J9">
        <v>50</v>
      </c>
      <c r="K9">
        <v>3</v>
      </c>
      <c r="L9">
        <v>41</v>
      </c>
    </row>
    <row r="10" spans="1:12" x14ac:dyDescent="0.4">
      <c r="A10" t="s">
        <v>49</v>
      </c>
      <c r="B10" t="s">
        <v>38</v>
      </c>
      <c r="C10" t="s">
        <v>34</v>
      </c>
      <c r="D10" t="s">
        <v>50</v>
      </c>
      <c r="E10" t="s">
        <v>42</v>
      </c>
      <c r="F10">
        <f t="shared" ca="1" si="0"/>
        <v>0.98076434534139045</v>
      </c>
      <c r="G10">
        <v>90</v>
      </c>
      <c r="H10">
        <v>6</v>
      </c>
      <c r="I10">
        <v>1</v>
      </c>
      <c r="J10">
        <v>40</v>
      </c>
      <c r="K10">
        <v>4</v>
      </c>
      <c r="L10">
        <v>74</v>
      </c>
    </row>
    <row r="11" spans="1:12" x14ac:dyDescent="0.4">
      <c r="A11" t="s">
        <v>51</v>
      </c>
      <c r="B11" t="s">
        <v>38</v>
      </c>
      <c r="C11" t="s">
        <v>52</v>
      </c>
      <c r="D11" t="s">
        <v>35</v>
      </c>
      <c r="E11" t="s">
        <v>36</v>
      </c>
      <c r="F11">
        <f t="shared" ca="1" si="0"/>
        <v>2.6360487981227365E-3</v>
      </c>
      <c r="G11">
        <v>100</v>
      </c>
      <c r="H11">
        <v>3</v>
      </c>
      <c r="I11">
        <v>0.5</v>
      </c>
      <c r="J11">
        <v>250</v>
      </c>
      <c r="K11">
        <v>4</v>
      </c>
      <c r="L11">
        <v>63</v>
      </c>
    </row>
    <row r="12" spans="1:12" x14ac:dyDescent="0.4">
      <c r="A12" t="s">
        <v>53</v>
      </c>
      <c r="B12" t="s">
        <v>33</v>
      </c>
      <c r="C12" t="s">
        <v>34</v>
      </c>
      <c r="D12" t="s">
        <v>39</v>
      </c>
      <c r="E12" t="s">
        <v>42</v>
      </c>
      <c r="F12">
        <f t="shared" ca="1" si="0"/>
        <v>0.96685698517300123</v>
      </c>
      <c r="G12">
        <v>360</v>
      </c>
      <c r="H12">
        <v>4</v>
      </c>
      <c r="I12">
        <v>1</v>
      </c>
      <c r="J12">
        <v>50</v>
      </c>
      <c r="K12">
        <v>2</v>
      </c>
      <c r="L12">
        <v>33</v>
      </c>
    </row>
    <row r="13" spans="1:12" x14ac:dyDescent="0.4">
      <c r="A13" t="s">
        <v>54</v>
      </c>
      <c r="B13" t="s">
        <v>33</v>
      </c>
      <c r="C13" t="s">
        <v>34</v>
      </c>
      <c r="D13" t="s">
        <v>35</v>
      </c>
      <c r="E13" t="s">
        <v>36</v>
      </c>
      <c r="F13">
        <f t="shared" ca="1" si="0"/>
        <v>0.1027336699232082</v>
      </c>
      <c r="G13">
        <v>270</v>
      </c>
      <c r="H13">
        <v>3</v>
      </c>
      <c r="I13">
        <v>0.5</v>
      </c>
      <c r="J13">
        <v>20</v>
      </c>
      <c r="K13">
        <v>4</v>
      </c>
      <c r="L13">
        <v>42</v>
      </c>
    </row>
    <row r="14" spans="1:12" x14ac:dyDescent="0.4">
      <c r="A14" t="s">
        <v>55</v>
      </c>
      <c r="B14" t="s">
        <v>38</v>
      </c>
      <c r="C14" t="s">
        <v>34</v>
      </c>
      <c r="D14" t="s">
        <v>35</v>
      </c>
      <c r="E14" t="s">
        <v>36</v>
      </c>
      <c r="F14">
        <f t="shared" ca="1" si="0"/>
        <v>0.78267340529018925</v>
      </c>
      <c r="G14">
        <v>90</v>
      </c>
      <c r="H14">
        <v>4</v>
      </c>
      <c r="I14">
        <v>0.5</v>
      </c>
      <c r="J14">
        <v>40</v>
      </c>
      <c r="K14">
        <v>3</v>
      </c>
      <c r="L14">
        <v>74</v>
      </c>
    </row>
    <row r="15" spans="1:12" x14ac:dyDescent="0.4">
      <c r="A15" t="s">
        <v>56</v>
      </c>
      <c r="B15" t="s">
        <v>38</v>
      </c>
      <c r="C15" t="s">
        <v>34</v>
      </c>
      <c r="D15" t="s">
        <v>41</v>
      </c>
      <c r="E15" t="s">
        <v>42</v>
      </c>
      <c r="F15">
        <f t="shared" ca="1" si="0"/>
        <v>0.29133030216187139</v>
      </c>
      <c r="G15">
        <v>90</v>
      </c>
      <c r="H15">
        <v>8</v>
      </c>
      <c r="I15">
        <v>0.25</v>
      </c>
      <c r="J15">
        <v>250</v>
      </c>
      <c r="K15">
        <v>3</v>
      </c>
      <c r="L15">
        <v>56</v>
      </c>
    </row>
    <row r="16" spans="1:12" x14ac:dyDescent="0.4">
      <c r="A16" t="s">
        <v>57</v>
      </c>
      <c r="B16" t="s">
        <v>38</v>
      </c>
      <c r="C16" t="s">
        <v>52</v>
      </c>
      <c r="D16" t="s">
        <v>39</v>
      </c>
      <c r="E16" t="s">
        <v>42</v>
      </c>
      <c r="F16">
        <f t="shared" ca="1" si="0"/>
        <v>0.81497085255904944</v>
      </c>
      <c r="G16">
        <v>180</v>
      </c>
      <c r="H16">
        <v>4</v>
      </c>
      <c r="I16">
        <v>0.5</v>
      </c>
      <c r="J16">
        <v>70</v>
      </c>
      <c r="K16">
        <v>5</v>
      </c>
      <c r="L16">
        <v>48</v>
      </c>
    </row>
    <row r="17" spans="1:12" x14ac:dyDescent="0.4">
      <c r="A17" t="s">
        <v>58</v>
      </c>
      <c r="B17" t="s">
        <v>38</v>
      </c>
      <c r="C17" t="s">
        <v>52</v>
      </c>
      <c r="D17" t="s">
        <v>41</v>
      </c>
      <c r="E17" t="s">
        <v>42</v>
      </c>
      <c r="F17">
        <f t="shared" ca="1" si="0"/>
        <v>0.52026632773669801</v>
      </c>
      <c r="G17">
        <v>150</v>
      </c>
      <c r="H17">
        <v>4</v>
      </c>
      <c r="I17">
        <v>0.5</v>
      </c>
      <c r="J17">
        <v>25</v>
      </c>
      <c r="K17">
        <v>3</v>
      </c>
      <c r="L17">
        <v>49</v>
      </c>
    </row>
    <row r="18" spans="1:12" x14ac:dyDescent="0.4">
      <c r="A18" t="s">
        <v>59</v>
      </c>
      <c r="B18" t="s">
        <v>38</v>
      </c>
      <c r="C18" t="s">
        <v>52</v>
      </c>
      <c r="D18" t="s">
        <v>39</v>
      </c>
      <c r="E18" t="s">
        <v>36</v>
      </c>
      <c r="F18">
        <f t="shared" ca="1" si="0"/>
        <v>0.32313673751095617</v>
      </c>
      <c r="G18">
        <v>100</v>
      </c>
      <c r="H18">
        <v>5</v>
      </c>
      <c r="I18">
        <v>0.5</v>
      </c>
      <c r="J18">
        <v>20</v>
      </c>
      <c r="K18">
        <v>4</v>
      </c>
      <c r="L18">
        <v>54</v>
      </c>
    </row>
    <row r="19" spans="1:12" x14ac:dyDescent="0.4">
      <c r="A19" t="s">
        <v>60</v>
      </c>
      <c r="B19" t="s">
        <v>38</v>
      </c>
      <c r="C19" t="s">
        <v>34</v>
      </c>
      <c r="D19" t="s">
        <v>41</v>
      </c>
      <c r="E19" t="s">
        <v>36</v>
      </c>
      <c r="F19">
        <f t="shared" ca="1" si="0"/>
        <v>0.65365995900368756</v>
      </c>
      <c r="G19">
        <v>270</v>
      </c>
      <c r="H19">
        <v>6</v>
      </c>
      <c r="I19">
        <v>1</v>
      </c>
      <c r="J19">
        <v>50</v>
      </c>
      <c r="K19">
        <v>2</v>
      </c>
      <c r="L19">
        <v>37</v>
      </c>
    </row>
    <row r="20" spans="1:12" x14ac:dyDescent="0.4">
      <c r="A20" t="s">
        <v>61</v>
      </c>
      <c r="B20" t="s">
        <v>33</v>
      </c>
      <c r="C20" t="s">
        <v>34</v>
      </c>
      <c r="D20" t="s">
        <v>39</v>
      </c>
      <c r="E20" t="s">
        <v>36</v>
      </c>
      <c r="F20">
        <f t="shared" ca="1" si="0"/>
        <v>0.25906338249082994</v>
      </c>
      <c r="G20">
        <v>180</v>
      </c>
      <c r="H20">
        <v>3</v>
      </c>
      <c r="I20">
        <v>0.5</v>
      </c>
      <c r="J20">
        <v>30</v>
      </c>
      <c r="K20">
        <v>2</v>
      </c>
      <c r="L20">
        <v>49</v>
      </c>
    </row>
    <row r="21" spans="1:12" x14ac:dyDescent="0.4">
      <c r="A21" t="s">
        <v>62</v>
      </c>
      <c r="B21" t="s">
        <v>38</v>
      </c>
      <c r="C21" t="s">
        <v>34</v>
      </c>
      <c r="D21" t="s">
        <v>35</v>
      </c>
      <c r="E21" t="s">
        <v>36</v>
      </c>
      <c r="F21">
        <f t="shared" ca="1" si="0"/>
        <v>0.21400677328795492</v>
      </c>
      <c r="G21">
        <v>240</v>
      </c>
      <c r="H21">
        <v>3</v>
      </c>
      <c r="I21">
        <v>1</v>
      </c>
      <c r="J21">
        <v>50</v>
      </c>
      <c r="K21">
        <v>2</v>
      </c>
      <c r="L21">
        <v>42</v>
      </c>
    </row>
    <row r="22" spans="1:12" x14ac:dyDescent="0.4">
      <c r="A22" t="s">
        <v>63</v>
      </c>
      <c r="B22" t="s">
        <v>38</v>
      </c>
      <c r="C22" t="s">
        <v>34</v>
      </c>
      <c r="D22" t="s">
        <v>39</v>
      </c>
      <c r="E22" t="s">
        <v>36</v>
      </c>
      <c r="F22">
        <f t="shared" ca="1" si="0"/>
        <v>0.78818616970518751</v>
      </c>
      <c r="G22">
        <v>270</v>
      </c>
      <c r="H22">
        <v>5</v>
      </c>
      <c r="I22">
        <v>1</v>
      </c>
      <c r="J22">
        <v>50</v>
      </c>
      <c r="K22">
        <v>5</v>
      </c>
      <c r="L22">
        <v>36</v>
      </c>
    </row>
    <row r="23" spans="1:12" x14ac:dyDescent="0.4">
      <c r="A23" t="s">
        <v>64</v>
      </c>
      <c r="B23" t="s">
        <v>38</v>
      </c>
      <c r="C23" t="s">
        <v>52</v>
      </c>
      <c r="D23" t="s">
        <v>41</v>
      </c>
      <c r="E23" t="s">
        <v>36</v>
      </c>
      <c r="F23">
        <f t="shared" ca="1" si="0"/>
        <v>0.64872555482401029</v>
      </c>
      <c r="G23">
        <v>270</v>
      </c>
      <c r="H23">
        <v>3</v>
      </c>
      <c r="I23">
        <v>0.75</v>
      </c>
      <c r="J23">
        <v>50</v>
      </c>
      <c r="K23">
        <v>3</v>
      </c>
      <c r="L23">
        <v>40</v>
      </c>
    </row>
    <row r="24" spans="1:12" x14ac:dyDescent="0.4">
      <c r="A24" t="s">
        <v>65</v>
      </c>
      <c r="B24" t="s">
        <v>33</v>
      </c>
      <c r="C24" t="s">
        <v>34</v>
      </c>
      <c r="D24" t="s">
        <v>41</v>
      </c>
      <c r="E24" t="s">
        <v>42</v>
      </c>
      <c r="F24">
        <f t="shared" ca="1" si="0"/>
        <v>0.19152867630028381</v>
      </c>
      <c r="G24">
        <v>360</v>
      </c>
      <c r="H24">
        <v>5</v>
      </c>
      <c r="I24">
        <v>0.5</v>
      </c>
      <c r="J24">
        <v>20</v>
      </c>
      <c r="K24">
        <v>2</v>
      </c>
      <c r="L24">
        <v>29</v>
      </c>
    </row>
    <row r="25" spans="1:12" x14ac:dyDescent="0.4">
      <c r="A25" t="s">
        <v>66</v>
      </c>
      <c r="B25" t="s">
        <v>38</v>
      </c>
      <c r="C25" t="s">
        <v>52</v>
      </c>
      <c r="D25" t="s">
        <v>39</v>
      </c>
      <c r="E25" t="s">
        <v>36</v>
      </c>
      <c r="F25">
        <f t="shared" ca="1" si="0"/>
        <v>0.717191937014514</v>
      </c>
      <c r="G25">
        <v>150</v>
      </c>
      <c r="H25">
        <v>4</v>
      </c>
      <c r="I25">
        <v>2.5</v>
      </c>
      <c r="J25">
        <v>50</v>
      </c>
      <c r="K25">
        <v>3</v>
      </c>
      <c r="L25">
        <v>55</v>
      </c>
    </row>
    <row r="26" spans="1:12" x14ac:dyDescent="0.4">
      <c r="A26" t="s">
        <v>67</v>
      </c>
      <c r="B26" t="s">
        <v>38</v>
      </c>
      <c r="C26" t="s">
        <v>34</v>
      </c>
      <c r="D26" t="s">
        <v>35</v>
      </c>
      <c r="E26" t="s">
        <v>42</v>
      </c>
      <c r="F26">
        <f t="shared" ca="1" si="0"/>
        <v>0.60413433027273999</v>
      </c>
      <c r="G26">
        <v>180</v>
      </c>
      <c r="H26">
        <v>3</v>
      </c>
      <c r="I26">
        <v>0.25</v>
      </c>
      <c r="J26">
        <v>20</v>
      </c>
      <c r="K26">
        <v>2</v>
      </c>
      <c r="L26">
        <v>44</v>
      </c>
    </row>
    <row r="27" spans="1:12" x14ac:dyDescent="0.4">
      <c r="A27" t="s">
        <v>68</v>
      </c>
      <c r="B27" t="s">
        <v>33</v>
      </c>
      <c r="C27" t="s">
        <v>34</v>
      </c>
      <c r="D27" t="s">
        <v>39</v>
      </c>
      <c r="E27" t="s">
        <v>36</v>
      </c>
      <c r="F27">
        <f t="shared" ca="1" si="0"/>
        <v>0.60570146032067496</v>
      </c>
      <c r="G27">
        <v>150</v>
      </c>
      <c r="H27">
        <v>3</v>
      </c>
      <c r="I27">
        <v>0.5</v>
      </c>
      <c r="J27">
        <v>150</v>
      </c>
      <c r="K27">
        <v>2</v>
      </c>
      <c r="L27">
        <v>51</v>
      </c>
    </row>
    <row r="28" spans="1:12" x14ac:dyDescent="0.4">
      <c r="A28" t="s">
        <v>69</v>
      </c>
      <c r="B28" t="s">
        <v>38</v>
      </c>
      <c r="C28" t="s">
        <v>34</v>
      </c>
      <c r="D28" t="s">
        <v>35</v>
      </c>
      <c r="E28" t="s">
        <v>36</v>
      </c>
      <c r="F28">
        <f t="shared" ca="1" si="0"/>
        <v>0.44871798250435535</v>
      </c>
      <c r="G28">
        <v>180</v>
      </c>
      <c r="H28">
        <v>3</v>
      </c>
      <c r="I28">
        <v>0.5</v>
      </c>
      <c r="J28">
        <v>200</v>
      </c>
      <c r="K28">
        <v>2</v>
      </c>
      <c r="L28">
        <v>48</v>
      </c>
    </row>
    <row r="29" spans="1:12" x14ac:dyDescent="0.4">
      <c r="A29" t="s">
        <v>70</v>
      </c>
      <c r="B29" t="s">
        <v>33</v>
      </c>
      <c r="C29" t="s">
        <v>34</v>
      </c>
      <c r="D29" t="s">
        <v>35</v>
      </c>
      <c r="E29" t="s">
        <v>36</v>
      </c>
      <c r="F29">
        <f t="shared" ca="1" si="0"/>
        <v>0.9857265255069636</v>
      </c>
      <c r="G29">
        <v>90</v>
      </c>
      <c r="H29">
        <v>2</v>
      </c>
      <c r="I29">
        <v>0.3</v>
      </c>
      <c r="J29">
        <v>40</v>
      </c>
      <c r="K29">
        <v>4</v>
      </c>
      <c r="L29">
        <v>72</v>
      </c>
    </row>
    <row r="30" spans="1:12" x14ac:dyDescent="0.4">
      <c r="A30" t="s">
        <v>71</v>
      </c>
      <c r="B30" t="s">
        <v>33</v>
      </c>
      <c r="C30" t="s">
        <v>45</v>
      </c>
      <c r="D30" t="s">
        <v>35</v>
      </c>
      <c r="E30" t="s">
        <v>42</v>
      </c>
      <c r="F30">
        <f t="shared" ca="1" si="0"/>
        <v>0.66876837829132418</v>
      </c>
      <c r="G30">
        <v>180</v>
      </c>
      <c r="H30">
        <v>3</v>
      </c>
      <c r="I30">
        <v>0.5</v>
      </c>
      <c r="J30">
        <v>200</v>
      </c>
      <c r="K30">
        <v>2</v>
      </c>
      <c r="L30">
        <v>52</v>
      </c>
    </row>
    <row r="31" spans="1:12" x14ac:dyDescent="0.4">
      <c r="A31" t="s">
        <v>72</v>
      </c>
      <c r="B31" t="s">
        <v>38</v>
      </c>
      <c r="C31" t="s">
        <v>34</v>
      </c>
      <c r="D31" t="s">
        <v>35</v>
      </c>
      <c r="E31" t="s">
        <v>36</v>
      </c>
      <c r="F31">
        <f t="shared" ca="1" si="0"/>
        <v>0.56346549061978279</v>
      </c>
      <c r="G31">
        <v>90</v>
      </c>
      <c r="H31">
        <v>3</v>
      </c>
      <c r="I31">
        <v>0.25</v>
      </c>
      <c r="J31">
        <v>20</v>
      </c>
      <c r="K31">
        <v>2</v>
      </c>
      <c r="L31">
        <v>59</v>
      </c>
    </row>
    <row r="32" spans="1:12" x14ac:dyDescent="0.4">
      <c r="A32" t="s">
        <v>73</v>
      </c>
      <c r="B32" t="s">
        <v>38</v>
      </c>
      <c r="C32" t="s">
        <v>34</v>
      </c>
      <c r="D32" t="s">
        <v>35</v>
      </c>
      <c r="E32" t="s">
        <v>36</v>
      </c>
      <c r="F32">
        <f t="shared" ca="1" si="0"/>
        <v>0.55486039654431318</v>
      </c>
      <c r="G32">
        <v>270</v>
      </c>
      <c r="H32">
        <v>4</v>
      </c>
      <c r="I32">
        <v>1</v>
      </c>
      <c r="J32">
        <v>20</v>
      </c>
      <c r="K32">
        <v>3</v>
      </c>
      <c r="L32">
        <v>40</v>
      </c>
    </row>
    <row r="33" spans="1:12" x14ac:dyDescent="0.4">
      <c r="A33" t="s">
        <v>74</v>
      </c>
      <c r="B33" t="s">
        <v>33</v>
      </c>
      <c r="C33" t="s">
        <v>52</v>
      </c>
      <c r="D33" t="s">
        <v>35</v>
      </c>
      <c r="E33" t="s">
        <v>36</v>
      </c>
      <c r="F33">
        <f t="shared" ca="1" si="0"/>
        <v>0.97818257060182123</v>
      </c>
      <c r="G33">
        <v>550</v>
      </c>
      <c r="H33">
        <v>2</v>
      </c>
      <c r="I33">
        <v>2</v>
      </c>
      <c r="J33">
        <v>150</v>
      </c>
      <c r="K33">
        <v>2</v>
      </c>
      <c r="L33">
        <v>22</v>
      </c>
    </row>
    <row r="34" spans="1:12" x14ac:dyDescent="0.4">
      <c r="A34" t="s">
        <v>75</v>
      </c>
      <c r="B34" t="s">
        <v>38</v>
      </c>
      <c r="C34" t="s">
        <v>34</v>
      </c>
      <c r="D34" t="s">
        <v>35</v>
      </c>
      <c r="E34" t="s">
        <v>36</v>
      </c>
      <c r="F34">
        <f t="shared" ca="1" si="0"/>
        <v>1.2589345870306023E-2</v>
      </c>
      <c r="G34">
        <v>80</v>
      </c>
      <c r="H34">
        <v>3</v>
      </c>
      <c r="I34">
        <v>1</v>
      </c>
      <c r="J34">
        <v>37</v>
      </c>
      <c r="K34">
        <v>2</v>
      </c>
      <c r="L34">
        <v>59</v>
      </c>
    </row>
    <row r="35" spans="1:12" x14ac:dyDescent="0.4">
      <c r="A35" t="s">
        <v>76</v>
      </c>
      <c r="B35" t="s">
        <v>33</v>
      </c>
      <c r="C35" t="s">
        <v>77</v>
      </c>
      <c r="D35" t="s">
        <v>35</v>
      </c>
      <c r="E35" t="s">
        <v>36</v>
      </c>
      <c r="F35">
        <f t="shared" ca="1" si="0"/>
        <v>0.83403339767576179</v>
      </c>
      <c r="G35">
        <v>540</v>
      </c>
      <c r="H35">
        <v>6</v>
      </c>
      <c r="I35">
        <v>0.5</v>
      </c>
      <c r="J35">
        <v>20</v>
      </c>
      <c r="K35">
        <v>3</v>
      </c>
      <c r="L35">
        <v>25</v>
      </c>
    </row>
    <row r="36" spans="1:12" x14ac:dyDescent="0.4">
      <c r="A36" t="s">
        <v>78</v>
      </c>
      <c r="B36" t="s">
        <v>38</v>
      </c>
      <c r="C36" t="s">
        <v>34</v>
      </c>
      <c r="D36" t="s">
        <v>35</v>
      </c>
      <c r="E36" t="s">
        <v>36</v>
      </c>
      <c r="F36">
        <f t="shared" ca="1" si="0"/>
        <v>0.64802044003319736</v>
      </c>
      <c r="G36">
        <v>250</v>
      </c>
      <c r="H36">
        <v>5</v>
      </c>
      <c r="I36">
        <v>0.5</v>
      </c>
      <c r="J36">
        <v>30</v>
      </c>
      <c r="K36">
        <v>2</v>
      </c>
      <c r="L36">
        <v>36</v>
      </c>
    </row>
    <row r="37" spans="1:12" x14ac:dyDescent="0.4">
      <c r="A37" t="s">
        <v>79</v>
      </c>
      <c r="B37" t="s">
        <v>33</v>
      </c>
      <c r="C37" t="s">
        <v>52</v>
      </c>
      <c r="D37" t="s">
        <v>35</v>
      </c>
      <c r="E37" t="s">
        <v>36</v>
      </c>
      <c r="F37">
        <f t="shared" ca="1" si="0"/>
        <v>0.22198706299197435</v>
      </c>
      <c r="G37">
        <v>90</v>
      </c>
      <c r="H37">
        <v>6</v>
      </c>
      <c r="I37">
        <v>0.5</v>
      </c>
      <c r="J37">
        <v>40</v>
      </c>
      <c r="K37">
        <v>3</v>
      </c>
      <c r="L37">
        <v>67</v>
      </c>
    </row>
    <row r="38" spans="1:12" x14ac:dyDescent="0.4">
      <c r="A38" t="s">
        <v>80</v>
      </c>
      <c r="B38" t="s">
        <v>38</v>
      </c>
      <c r="C38" t="s">
        <v>34</v>
      </c>
      <c r="D38" t="s">
        <v>35</v>
      </c>
      <c r="E38" t="s">
        <v>36</v>
      </c>
      <c r="F38">
        <f t="shared" ca="1" si="0"/>
        <v>0.23707008270513974</v>
      </c>
      <c r="G38">
        <v>70</v>
      </c>
      <c r="H38">
        <v>8</v>
      </c>
      <c r="I38">
        <v>0.75</v>
      </c>
      <c r="J38">
        <v>25</v>
      </c>
      <c r="K38">
        <v>3</v>
      </c>
      <c r="L38">
        <v>56</v>
      </c>
    </row>
    <row r="39" spans="1:12" x14ac:dyDescent="0.4">
      <c r="A39" t="s">
        <v>81</v>
      </c>
      <c r="B39" t="s">
        <v>38</v>
      </c>
      <c r="C39" t="s">
        <v>34</v>
      </c>
      <c r="D39" t="s">
        <v>41</v>
      </c>
      <c r="E39" t="s">
        <v>36</v>
      </c>
      <c r="F39">
        <f t="shared" ca="1" si="0"/>
        <v>0.67333433187474445</v>
      </c>
      <c r="G39">
        <v>300</v>
      </c>
      <c r="H39">
        <v>4</v>
      </c>
      <c r="I39">
        <v>1</v>
      </c>
      <c r="J39">
        <v>300</v>
      </c>
      <c r="K39">
        <v>2</v>
      </c>
      <c r="L39">
        <v>43</v>
      </c>
    </row>
    <row r="40" spans="1:12" x14ac:dyDescent="0.4">
      <c r="A40" t="s">
        <v>82</v>
      </c>
      <c r="B40" t="s">
        <v>38</v>
      </c>
      <c r="C40" t="s">
        <v>34</v>
      </c>
      <c r="D40" t="s">
        <v>39</v>
      </c>
      <c r="E40" t="s">
        <v>36</v>
      </c>
      <c r="F40">
        <f t="shared" ca="1" si="0"/>
        <v>0.10931007075966326</v>
      </c>
      <c r="G40">
        <v>60</v>
      </c>
      <c r="H40">
        <v>5</v>
      </c>
      <c r="I40">
        <v>1</v>
      </c>
      <c r="J40">
        <v>25</v>
      </c>
      <c r="K40">
        <v>3</v>
      </c>
      <c r="L40">
        <v>59</v>
      </c>
    </row>
    <row r="41" spans="1:12" x14ac:dyDescent="0.4">
      <c r="A41" t="s">
        <v>83</v>
      </c>
      <c r="B41" t="s">
        <v>38</v>
      </c>
      <c r="C41" t="s">
        <v>52</v>
      </c>
      <c r="D41" t="s">
        <v>39</v>
      </c>
      <c r="E41" t="s">
        <v>36</v>
      </c>
      <c r="F41">
        <f t="shared" ca="1" si="0"/>
        <v>0.9942967350383064</v>
      </c>
      <c r="G41">
        <v>270</v>
      </c>
      <c r="H41">
        <v>5</v>
      </c>
      <c r="I41">
        <v>1</v>
      </c>
      <c r="J41">
        <v>21</v>
      </c>
      <c r="K41">
        <v>3</v>
      </c>
      <c r="L41">
        <v>40</v>
      </c>
    </row>
    <row r="42" spans="1:12" x14ac:dyDescent="0.4">
      <c r="A42" t="s">
        <v>84</v>
      </c>
      <c r="B42" t="s">
        <v>38</v>
      </c>
      <c r="C42" t="s">
        <v>34</v>
      </c>
      <c r="D42" t="s">
        <v>41</v>
      </c>
      <c r="E42" t="s">
        <v>42</v>
      </c>
      <c r="F42">
        <f t="shared" ca="1" si="0"/>
        <v>0.36537373717588206</v>
      </c>
      <c r="G42">
        <v>180</v>
      </c>
      <c r="H42">
        <v>6</v>
      </c>
      <c r="I42">
        <v>0.5</v>
      </c>
      <c r="J42">
        <v>20</v>
      </c>
      <c r="K42">
        <v>2</v>
      </c>
      <c r="L42">
        <v>40</v>
      </c>
    </row>
    <row r="43" spans="1:12" x14ac:dyDescent="0.4">
      <c r="A43" t="s">
        <v>85</v>
      </c>
      <c r="B43" t="s">
        <v>38</v>
      </c>
      <c r="C43" t="s">
        <v>34</v>
      </c>
      <c r="D43" t="s">
        <v>35</v>
      </c>
      <c r="E43" t="s">
        <v>36</v>
      </c>
      <c r="F43">
        <f t="shared" ca="1" si="0"/>
        <v>0.74562739008327872</v>
      </c>
      <c r="G43">
        <v>270</v>
      </c>
      <c r="H43">
        <v>4</v>
      </c>
      <c r="I43">
        <v>0.25</v>
      </c>
      <c r="J43">
        <v>50</v>
      </c>
      <c r="K43">
        <v>2</v>
      </c>
      <c r="L43">
        <v>42</v>
      </c>
    </row>
    <row r="44" spans="1:12" x14ac:dyDescent="0.4">
      <c r="A44" t="s">
        <v>86</v>
      </c>
      <c r="B44" t="s">
        <v>38</v>
      </c>
      <c r="C44" t="s">
        <v>52</v>
      </c>
      <c r="D44" t="s">
        <v>39</v>
      </c>
      <c r="E44" t="s">
        <v>36</v>
      </c>
      <c r="F44">
        <f t="shared" ca="1" si="0"/>
        <v>0.24552235161831604</v>
      </c>
      <c r="G44">
        <v>450</v>
      </c>
      <c r="H44">
        <v>6</v>
      </c>
      <c r="I44">
        <v>1</v>
      </c>
      <c r="J44">
        <v>100</v>
      </c>
      <c r="K44">
        <v>2</v>
      </c>
      <c r="L44">
        <v>24</v>
      </c>
    </row>
    <row r="45" spans="1:12" x14ac:dyDescent="0.4">
      <c r="A45" t="s">
        <v>87</v>
      </c>
      <c r="B45" t="s">
        <v>33</v>
      </c>
      <c r="C45" t="s">
        <v>52</v>
      </c>
      <c r="D45" t="s">
        <v>39</v>
      </c>
      <c r="E45" t="s">
        <v>42</v>
      </c>
      <c r="F45">
        <f t="shared" ca="1" si="0"/>
        <v>0.72546283547900614</v>
      </c>
      <c r="G45">
        <v>180</v>
      </c>
      <c r="H45">
        <v>3</v>
      </c>
      <c r="I45">
        <v>1</v>
      </c>
      <c r="J45">
        <v>50</v>
      </c>
      <c r="K45">
        <v>4</v>
      </c>
      <c r="L45">
        <v>46</v>
      </c>
    </row>
    <row r="46" spans="1:12" x14ac:dyDescent="0.4">
      <c r="A46" t="s">
        <v>88</v>
      </c>
      <c r="B46" t="s">
        <v>38</v>
      </c>
      <c r="C46" t="s">
        <v>52</v>
      </c>
      <c r="D46" t="s">
        <v>41</v>
      </c>
      <c r="E46" t="s">
        <v>36</v>
      </c>
      <c r="F46">
        <f t="shared" ca="1" si="0"/>
        <v>0.91537226087122858</v>
      </c>
      <c r="G46">
        <v>200</v>
      </c>
      <c r="H46">
        <v>6</v>
      </c>
      <c r="I46">
        <v>1</v>
      </c>
      <c r="J46">
        <v>20</v>
      </c>
      <c r="K46">
        <v>3</v>
      </c>
      <c r="L46">
        <v>44</v>
      </c>
    </row>
    <row r="47" spans="1:12" x14ac:dyDescent="0.4">
      <c r="A47" t="s">
        <v>89</v>
      </c>
      <c r="B47" t="s">
        <v>38</v>
      </c>
      <c r="C47" t="s">
        <v>34</v>
      </c>
      <c r="D47" t="s">
        <v>41</v>
      </c>
      <c r="E47" t="s">
        <v>42</v>
      </c>
      <c r="F47">
        <f t="shared" ca="1" si="0"/>
        <v>0.69404215527032376</v>
      </c>
      <c r="G47">
        <v>100</v>
      </c>
      <c r="H47">
        <v>2</v>
      </c>
      <c r="I47">
        <v>0.5</v>
      </c>
      <c r="J47">
        <v>20</v>
      </c>
      <c r="K47">
        <v>3</v>
      </c>
      <c r="L47">
        <v>52</v>
      </c>
    </row>
    <row r="48" spans="1:12" x14ac:dyDescent="0.4">
      <c r="A48" t="s">
        <v>90</v>
      </c>
      <c r="B48" t="s">
        <v>38</v>
      </c>
      <c r="C48" t="s">
        <v>34</v>
      </c>
      <c r="D48" t="s">
        <v>35</v>
      </c>
      <c r="E48" t="s">
        <v>36</v>
      </c>
      <c r="F48">
        <f t="shared" ca="1" si="0"/>
        <v>0.5919857060813617</v>
      </c>
      <c r="G48">
        <v>50</v>
      </c>
      <c r="H48">
        <v>7</v>
      </c>
      <c r="I48">
        <v>0.25</v>
      </c>
      <c r="J48">
        <v>24</v>
      </c>
      <c r="K48">
        <v>3</v>
      </c>
      <c r="L48">
        <v>72</v>
      </c>
    </row>
    <row r="49" spans="1:12" x14ac:dyDescent="0.4">
      <c r="A49" t="s">
        <v>91</v>
      </c>
      <c r="B49" t="s">
        <v>38</v>
      </c>
      <c r="C49" t="s">
        <v>52</v>
      </c>
      <c r="D49" t="s">
        <v>41</v>
      </c>
      <c r="E49" t="s">
        <v>36</v>
      </c>
      <c r="F49">
        <f t="shared" ca="1" si="0"/>
        <v>7.3096016154129639E-2</v>
      </c>
      <c r="G49">
        <v>90</v>
      </c>
      <c r="H49">
        <v>4</v>
      </c>
      <c r="I49">
        <v>1</v>
      </c>
      <c r="J49">
        <v>50</v>
      </c>
      <c r="K49">
        <v>2</v>
      </c>
      <c r="L49">
        <v>54</v>
      </c>
    </row>
    <row r="50" spans="1:12" x14ac:dyDescent="0.4">
      <c r="A50" t="s">
        <v>92</v>
      </c>
      <c r="B50" t="s">
        <v>38</v>
      </c>
      <c r="C50" t="s">
        <v>52</v>
      </c>
      <c r="D50" t="s">
        <v>39</v>
      </c>
      <c r="E50" t="s">
        <v>36</v>
      </c>
      <c r="F50">
        <f t="shared" ca="1" si="0"/>
        <v>0.21349017955977467</v>
      </c>
      <c r="G50">
        <v>180</v>
      </c>
      <c r="H50">
        <v>5</v>
      </c>
      <c r="I50">
        <v>0.25</v>
      </c>
      <c r="J50">
        <v>90</v>
      </c>
      <c r="K50">
        <v>3</v>
      </c>
      <c r="L50">
        <v>48</v>
      </c>
    </row>
    <row r="51" spans="1:12" x14ac:dyDescent="0.4">
      <c r="A51" t="s">
        <v>93</v>
      </c>
      <c r="B51" t="s">
        <v>38</v>
      </c>
      <c r="C51" t="s">
        <v>34</v>
      </c>
      <c r="D51" t="s">
        <v>35</v>
      </c>
      <c r="E51" t="s">
        <v>36</v>
      </c>
      <c r="F51">
        <f t="shared" ca="1" si="0"/>
        <v>0.63774436411422097</v>
      </c>
      <c r="G51">
        <v>270</v>
      </c>
      <c r="H51">
        <v>4</v>
      </c>
      <c r="I51">
        <v>2</v>
      </c>
      <c r="J51">
        <v>50</v>
      </c>
      <c r="K51">
        <v>2</v>
      </c>
      <c r="L51">
        <v>38</v>
      </c>
    </row>
    <row r="52" spans="1:12" x14ac:dyDescent="0.4">
      <c r="A52" t="s">
        <v>94</v>
      </c>
      <c r="B52" t="s">
        <v>38</v>
      </c>
      <c r="C52" t="s">
        <v>52</v>
      </c>
      <c r="D52" t="s">
        <v>41</v>
      </c>
      <c r="E52" t="s">
        <v>36</v>
      </c>
      <c r="F52">
        <f t="shared" ca="1" si="0"/>
        <v>9.9290148388914812E-2</v>
      </c>
      <c r="G52">
        <v>330</v>
      </c>
      <c r="H52">
        <v>3</v>
      </c>
      <c r="I52">
        <v>1.5</v>
      </c>
      <c r="J52">
        <v>150</v>
      </c>
      <c r="K52">
        <v>2</v>
      </c>
      <c r="L52">
        <v>44</v>
      </c>
    </row>
    <row r="53" spans="1:12" x14ac:dyDescent="0.4">
      <c r="A53" t="s">
        <v>95</v>
      </c>
      <c r="B53" t="s">
        <v>33</v>
      </c>
      <c r="C53" t="s">
        <v>34</v>
      </c>
      <c r="D53" t="s">
        <v>41</v>
      </c>
      <c r="E53" t="s">
        <v>36</v>
      </c>
      <c r="F53">
        <f t="shared" ca="1" si="0"/>
        <v>0.55091740501848785</v>
      </c>
      <c r="G53">
        <v>180</v>
      </c>
      <c r="H53">
        <v>1</v>
      </c>
      <c r="I53">
        <v>0.25</v>
      </c>
      <c r="J53">
        <v>50</v>
      </c>
      <c r="K53">
        <v>3</v>
      </c>
      <c r="L53">
        <v>49</v>
      </c>
    </row>
    <row r="54" spans="1:12" x14ac:dyDescent="0.4">
      <c r="A54" t="s">
        <v>96</v>
      </c>
      <c r="B54" t="s">
        <v>33</v>
      </c>
      <c r="C54" t="s">
        <v>34</v>
      </c>
      <c r="D54" t="s">
        <v>41</v>
      </c>
      <c r="E54" t="s">
        <v>36</v>
      </c>
      <c r="F54">
        <f t="shared" ca="1" si="0"/>
        <v>0.39033568328695989</v>
      </c>
      <c r="G54">
        <v>360</v>
      </c>
      <c r="H54">
        <v>6</v>
      </c>
      <c r="I54">
        <v>1</v>
      </c>
      <c r="J54">
        <v>50</v>
      </c>
      <c r="K54">
        <v>5</v>
      </c>
      <c r="L54">
        <v>22</v>
      </c>
    </row>
    <row r="55" spans="1:12" x14ac:dyDescent="0.4">
      <c r="A55" t="s">
        <v>97</v>
      </c>
      <c r="B55" t="s">
        <v>33</v>
      </c>
      <c r="C55" t="s">
        <v>52</v>
      </c>
      <c r="D55" t="s">
        <v>98</v>
      </c>
      <c r="E55" t="s">
        <v>36</v>
      </c>
      <c r="F55">
        <f t="shared" ca="1" si="0"/>
        <v>0.90933344103635116</v>
      </c>
      <c r="G55">
        <v>100</v>
      </c>
      <c r="H55">
        <v>4</v>
      </c>
      <c r="I55">
        <v>0.5</v>
      </c>
      <c r="J55">
        <v>50</v>
      </c>
      <c r="K55">
        <v>3</v>
      </c>
      <c r="L55">
        <v>58</v>
      </c>
    </row>
    <row r="56" spans="1:12" x14ac:dyDescent="0.4">
      <c r="A56" t="s">
        <v>99</v>
      </c>
      <c r="B56" t="s">
        <v>38</v>
      </c>
      <c r="C56" t="s">
        <v>100</v>
      </c>
      <c r="D56" t="s">
        <v>39</v>
      </c>
      <c r="E56" t="s">
        <v>42</v>
      </c>
      <c r="F56">
        <f t="shared" ca="1" si="0"/>
        <v>0.2200397263068723</v>
      </c>
      <c r="G56">
        <v>180</v>
      </c>
      <c r="H56">
        <v>5</v>
      </c>
      <c r="I56">
        <v>1</v>
      </c>
      <c r="J56">
        <v>50</v>
      </c>
      <c r="K56">
        <v>4</v>
      </c>
      <c r="L56">
        <v>46</v>
      </c>
    </row>
    <row r="57" spans="1:12" x14ac:dyDescent="0.4">
      <c r="A57" t="s">
        <v>101</v>
      </c>
      <c r="B57" t="s">
        <v>33</v>
      </c>
      <c r="C57" t="s">
        <v>52</v>
      </c>
      <c r="D57" t="s">
        <v>41</v>
      </c>
      <c r="E57" t="s">
        <v>36</v>
      </c>
      <c r="F57">
        <f t="shared" ca="1" si="0"/>
        <v>7.883572561474983E-3</v>
      </c>
      <c r="G57">
        <v>450</v>
      </c>
      <c r="H57">
        <v>8</v>
      </c>
      <c r="I57">
        <v>1.5</v>
      </c>
      <c r="J57">
        <v>25</v>
      </c>
      <c r="K57">
        <v>3</v>
      </c>
      <c r="L57">
        <v>28</v>
      </c>
    </row>
    <row r="58" spans="1:12" x14ac:dyDescent="0.4">
      <c r="A58" t="s">
        <v>102</v>
      </c>
      <c r="B58" t="s">
        <v>38</v>
      </c>
      <c r="C58" t="s">
        <v>34</v>
      </c>
      <c r="D58" t="s">
        <v>41</v>
      </c>
      <c r="E58" t="s">
        <v>36</v>
      </c>
      <c r="F58">
        <f t="shared" ca="1" si="0"/>
        <v>0.50571133341325636</v>
      </c>
      <c r="G58">
        <v>180</v>
      </c>
      <c r="H58">
        <v>3</v>
      </c>
      <c r="I58">
        <v>1</v>
      </c>
      <c r="J58">
        <v>25</v>
      </c>
      <c r="K58">
        <v>2</v>
      </c>
      <c r="L58">
        <v>41</v>
      </c>
    </row>
    <row r="59" spans="1:12" x14ac:dyDescent="0.4">
      <c r="A59" t="s">
        <v>103</v>
      </c>
      <c r="B59" t="s">
        <v>33</v>
      </c>
      <c r="C59" t="s">
        <v>34</v>
      </c>
      <c r="D59" t="s">
        <v>39</v>
      </c>
      <c r="E59" t="s">
        <v>42</v>
      </c>
      <c r="F59">
        <f t="shared" ca="1" si="0"/>
        <v>0.88994215802340937</v>
      </c>
      <c r="G59">
        <v>440</v>
      </c>
      <c r="H59">
        <v>4</v>
      </c>
      <c r="I59">
        <v>1.5</v>
      </c>
      <c r="J59">
        <v>40</v>
      </c>
      <c r="K59">
        <v>2</v>
      </c>
      <c r="L59">
        <v>21</v>
      </c>
    </row>
    <row r="60" spans="1:12" x14ac:dyDescent="0.4">
      <c r="A60" t="s">
        <v>104</v>
      </c>
      <c r="B60" t="s">
        <v>38</v>
      </c>
      <c r="C60" t="s">
        <v>34</v>
      </c>
      <c r="D60" t="s">
        <v>35</v>
      </c>
      <c r="E60" t="s">
        <v>36</v>
      </c>
      <c r="F60">
        <f t="shared" ca="1" si="0"/>
        <v>0.43187649837780073</v>
      </c>
      <c r="G60">
        <v>360</v>
      </c>
      <c r="H60">
        <v>4</v>
      </c>
      <c r="I60">
        <v>0.5</v>
      </c>
      <c r="J60">
        <v>30</v>
      </c>
      <c r="K60">
        <v>2</v>
      </c>
      <c r="L60">
        <v>30</v>
      </c>
    </row>
    <row r="61" spans="1:12" x14ac:dyDescent="0.4">
      <c r="A61" t="s">
        <v>105</v>
      </c>
      <c r="B61" t="s">
        <v>38</v>
      </c>
      <c r="C61" t="s">
        <v>52</v>
      </c>
      <c r="D61" t="s">
        <v>35</v>
      </c>
      <c r="E61" t="s">
        <v>36</v>
      </c>
      <c r="F61">
        <f t="shared" ca="1" si="0"/>
        <v>0.92240686962043583</v>
      </c>
      <c r="G61">
        <v>180</v>
      </c>
      <c r="H61">
        <v>2</v>
      </c>
      <c r="I61">
        <v>1</v>
      </c>
      <c r="J61">
        <v>30</v>
      </c>
      <c r="K61">
        <v>4</v>
      </c>
      <c r="L61">
        <v>49</v>
      </c>
    </row>
    <row r="62" spans="1:12" x14ac:dyDescent="0.4">
      <c r="A62" t="s">
        <v>106</v>
      </c>
      <c r="B62" t="s">
        <v>33</v>
      </c>
      <c r="C62" t="s">
        <v>34</v>
      </c>
      <c r="D62" t="s">
        <v>39</v>
      </c>
      <c r="E62" t="s">
        <v>42</v>
      </c>
      <c r="F62">
        <f t="shared" ca="1" si="0"/>
        <v>0.59672224972003485</v>
      </c>
      <c r="G62">
        <v>135</v>
      </c>
      <c r="H62">
        <v>5</v>
      </c>
      <c r="I62">
        <v>0.25</v>
      </c>
      <c r="J62">
        <v>200</v>
      </c>
      <c r="K62">
        <v>2</v>
      </c>
      <c r="L62">
        <v>53</v>
      </c>
    </row>
    <row r="63" spans="1:12" x14ac:dyDescent="0.4">
      <c r="A63" t="s">
        <v>107</v>
      </c>
      <c r="B63" t="s">
        <v>33</v>
      </c>
      <c r="C63" t="s">
        <v>52</v>
      </c>
      <c r="D63" t="s">
        <v>35</v>
      </c>
      <c r="E63" t="s">
        <v>36</v>
      </c>
      <c r="F63">
        <f t="shared" ca="1" si="0"/>
        <v>0.71113125600763361</v>
      </c>
      <c r="G63">
        <v>360</v>
      </c>
      <c r="H63">
        <v>4</v>
      </c>
      <c r="I63">
        <v>0.75</v>
      </c>
      <c r="J63">
        <v>50</v>
      </c>
      <c r="K63">
        <v>2</v>
      </c>
      <c r="L63">
        <v>23</v>
      </c>
    </row>
    <row r="64" spans="1:12" x14ac:dyDescent="0.4">
      <c r="A64" t="s">
        <v>108</v>
      </c>
      <c r="B64" t="s">
        <v>38</v>
      </c>
      <c r="C64" t="s">
        <v>52</v>
      </c>
      <c r="D64" t="s">
        <v>39</v>
      </c>
      <c r="E64" t="s">
        <v>36</v>
      </c>
      <c r="F64">
        <f t="shared" ca="1" si="0"/>
        <v>0.20111187530485963</v>
      </c>
      <c r="G64">
        <v>90</v>
      </c>
      <c r="H64">
        <v>5</v>
      </c>
      <c r="I64">
        <v>1</v>
      </c>
      <c r="J64">
        <v>50</v>
      </c>
      <c r="K64">
        <v>2</v>
      </c>
      <c r="L64">
        <v>46</v>
      </c>
    </row>
    <row r="65" spans="1:12" x14ac:dyDescent="0.4">
      <c r="A65" t="s">
        <v>109</v>
      </c>
      <c r="B65" t="s">
        <v>38</v>
      </c>
      <c r="C65" t="s">
        <v>34</v>
      </c>
      <c r="D65" t="s">
        <v>35</v>
      </c>
      <c r="E65" t="s">
        <v>36</v>
      </c>
      <c r="F65">
        <f t="shared" ca="1" si="0"/>
        <v>0.78932819979091839</v>
      </c>
      <c r="G65">
        <v>180</v>
      </c>
      <c r="H65">
        <v>4</v>
      </c>
      <c r="I65">
        <v>0.5</v>
      </c>
      <c r="J65">
        <v>20</v>
      </c>
      <c r="K65">
        <v>4</v>
      </c>
      <c r="L65">
        <v>36</v>
      </c>
    </row>
    <row r="66" spans="1:12" x14ac:dyDescent="0.4">
      <c r="A66" t="s">
        <v>110</v>
      </c>
      <c r="B66" t="s">
        <v>38</v>
      </c>
      <c r="C66" t="s">
        <v>34</v>
      </c>
      <c r="D66" t="s">
        <v>41</v>
      </c>
      <c r="E66" t="s">
        <v>36</v>
      </c>
      <c r="F66">
        <f t="shared" ref="F66:F129" ca="1" si="1">RAND()</f>
        <v>0.36966222416592776</v>
      </c>
      <c r="G66">
        <v>400</v>
      </c>
      <c r="H66">
        <v>2</v>
      </c>
      <c r="I66">
        <v>2</v>
      </c>
      <c r="J66">
        <v>40</v>
      </c>
      <c r="K66">
        <v>4</v>
      </c>
      <c r="L66">
        <v>19</v>
      </c>
    </row>
    <row r="67" spans="1:12" x14ac:dyDescent="0.4">
      <c r="A67" t="s">
        <v>111</v>
      </c>
      <c r="B67" t="s">
        <v>33</v>
      </c>
      <c r="C67" t="s">
        <v>52</v>
      </c>
      <c r="D67" t="s">
        <v>35</v>
      </c>
      <c r="E67" t="s">
        <v>36</v>
      </c>
      <c r="F67">
        <f t="shared" ca="1" si="1"/>
        <v>0.16667840815856161</v>
      </c>
      <c r="G67">
        <v>100</v>
      </c>
      <c r="H67">
        <v>6</v>
      </c>
      <c r="I67">
        <v>0.75</v>
      </c>
      <c r="J67">
        <v>25</v>
      </c>
      <c r="K67">
        <v>3</v>
      </c>
      <c r="L67">
        <v>52</v>
      </c>
    </row>
    <row r="68" spans="1:12" x14ac:dyDescent="0.4">
      <c r="A68" t="s">
        <v>112</v>
      </c>
      <c r="B68" t="s">
        <v>38</v>
      </c>
      <c r="C68" t="s">
        <v>34</v>
      </c>
      <c r="D68" t="s">
        <v>50</v>
      </c>
      <c r="E68" t="s">
        <v>42</v>
      </c>
      <c r="F68">
        <f t="shared" ca="1" si="1"/>
        <v>0.6039173624904034</v>
      </c>
      <c r="G68">
        <v>360</v>
      </c>
      <c r="H68">
        <v>5</v>
      </c>
      <c r="I68">
        <v>1</v>
      </c>
      <c r="J68">
        <v>100</v>
      </c>
      <c r="K68">
        <v>2</v>
      </c>
      <c r="L68">
        <v>40</v>
      </c>
    </row>
    <row r="69" spans="1:12" x14ac:dyDescent="0.4">
      <c r="A69" t="s">
        <v>113</v>
      </c>
      <c r="B69" t="s">
        <v>38</v>
      </c>
      <c r="C69" t="s">
        <v>34</v>
      </c>
      <c r="D69" t="s">
        <v>41</v>
      </c>
      <c r="E69" t="s">
        <v>42</v>
      </c>
      <c r="F69">
        <f t="shared" ca="1" si="1"/>
        <v>0.59976847991262794</v>
      </c>
      <c r="G69">
        <v>180</v>
      </c>
      <c r="H69">
        <v>2</v>
      </c>
      <c r="I69">
        <v>0.25</v>
      </c>
      <c r="J69">
        <v>50</v>
      </c>
      <c r="K69">
        <v>2</v>
      </c>
      <c r="L69">
        <v>49</v>
      </c>
    </row>
    <row r="70" spans="1:12" x14ac:dyDescent="0.4">
      <c r="A70" t="s">
        <v>114</v>
      </c>
      <c r="B70" t="s">
        <v>33</v>
      </c>
      <c r="C70" t="s">
        <v>34</v>
      </c>
      <c r="D70" t="s">
        <v>35</v>
      </c>
      <c r="E70" t="s">
        <v>36</v>
      </c>
      <c r="F70">
        <f t="shared" ca="1" si="1"/>
        <v>0.96803290953441867</v>
      </c>
      <c r="G70">
        <v>360</v>
      </c>
      <c r="H70">
        <v>5</v>
      </c>
      <c r="I70">
        <v>1.5</v>
      </c>
      <c r="J70">
        <v>25</v>
      </c>
      <c r="K70">
        <v>2</v>
      </c>
      <c r="L70">
        <v>26</v>
      </c>
    </row>
    <row r="71" spans="1:12" x14ac:dyDescent="0.4">
      <c r="A71" t="s">
        <v>115</v>
      </c>
      <c r="B71" t="s">
        <v>38</v>
      </c>
      <c r="C71" t="s">
        <v>52</v>
      </c>
      <c r="D71" t="s">
        <v>41</v>
      </c>
      <c r="E71" t="s">
        <v>36</v>
      </c>
      <c r="F71">
        <f t="shared" ca="1" si="1"/>
        <v>0.64658447542630215</v>
      </c>
      <c r="G71">
        <v>270</v>
      </c>
      <c r="H71">
        <v>3</v>
      </c>
      <c r="I71">
        <v>0.5</v>
      </c>
      <c r="J71">
        <v>120</v>
      </c>
      <c r="K71">
        <v>2</v>
      </c>
      <c r="L71">
        <v>42</v>
      </c>
    </row>
    <row r="72" spans="1:12" x14ac:dyDescent="0.4">
      <c r="A72" t="s">
        <v>116</v>
      </c>
      <c r="B72" t="s">
        <v>33</v>
      </c>
      <c r="C72" t="s">
        <v>52</v>
      </c>
      <c r="D72" t="s">
        <v>98</v>
      </c>
      <c r="E72" t="s">
        <v>36</v>
      </c>
      <c r="F72">
        <f t="shared" ca="1" si="1"/>
        <v>0.73718146099967763</v>
      </c>
      <c r="G72">
        <v>270</v>
      </c>
      <c r="H72">
        <v>9</v>
      </c>
      <c r="I72">
        <v>0.5</v>
      </c>
      <c r="J72">
        <v>50</v>
      </c>
      <c r="K72">
        <v>3</v>
      </c>
      <c r="L72">
        <v>45</v>
      </c>
    </row>
    <row r="73" spans="1:12" x14ac:dyDescent="0.4">
      <c r="A73" t="s">
        <v>117</v>
      </c>
      <c r="B73" t="s">
        <v>38</v>
      </c>
      <c r="C73" t="s">
        <v>52</v>
      </c>
      <c r="D73" t="s">
        <v>39</v>
      </c>
      <c r="E73" t="s">
        <v>36</v>
      </c>
      <c r="F73">
        <f t="shared" ca="1" si="1"/>
        <v>0.18545029994536721</v>
      </c>
      <c r="G73">
        <v>360</v>
      </c>
      <c r="H73">
        <v>5</v>
      </c>
      <c r="I73">
        <v>1</v>
      </c>
      <c r="J73">
        <v>20</v>
      </c>
      <c r="K73">
        <v>2</v>
      </c>
      <c r="L73">
        <v>29</v>
      </c>
    </row>
    <row r="74" spans="1:12" x14ac:dyDescent="0.4">
      <c r="A74" t="s">
        <v>118</v>
      </c>
      <c r="B74" t="s">
        <v>38</v>
      </c>
      <c r="C74" t="s">
        <v>34</v>
      </c>
      <c r="D74" t="s">
        <v>39</v>
      </c>
      <c r="E74" t="s">
        <v>36</v>
      </c>
      <c r="F74">
        <f t="shared" ca="1" si="1"/>
        <v>4.6922834359837906E-2</v>
      </c>
      <c r="G74">
        <v>115</v>
      </c>
      <c r="H74">
        <v>3</v>
      </c>
      <c r="I74">
        <v>0.5</v>
      </c>
      <c r="J74">
        <v>40</v>
      </c>
      <c r="K74">
        <v>4</v>
      </c>
      <c r="L74">
        <v>50</v>
      </c>
    </row>
    <row r="75" spans="1:12" x14ac:dyDescent="0.4">
      <c r="A75" t="s">
        <v>119</v>
      </c>
      <c r="B75" t="s">
        <v>38</v>
      </c>
      <c r="C75" t="s">
        <v>34</v>
      </c>
      <c r="D75" t="s">
        <v>35</v>
      </c>
      <c r="E75" t="s">
        <v>36</v>
      </c>
      <c r="F75">
        <f t="shared" ca="1" si="1"/>
        <v>0.90060264579320415</v>
      </c>
      <c r="G75">
        <v>180</v>
      </c>
      <c r="H75">
        <v>4</v>
      </c>
      <c r="I75">
        <v>0.25</v>
      </c>
      <c r="J75">
        <v>20</v>
      </c>
      <c r="K75">
        <v>3</v>
      </c>
      <c r="L75">
        <v>43</v>
      </c>
    </row>
    <row r="76" spans="1:12" x14ac:dyDescent="0.4">
      <c r="A76" t="s">
        <v>120</v>
      </c>
      <c r="B76" t="s">
        <v>38</v>
      </c>
      <c r="C76" t="s">
        <v>52</v>
      </c>
      <c r="D76" t="s">
        <v>39</v>
      </c>
      <c r="E76" t="s">
        <v>36</v>
      </c>
      <c r="F76">
        <f t="shared" ca="1" si="1"/>
        <v>0.45415067136615594</v>
      </c>
      <c r="G76">
        <v>180</v>
      </c>
      <c r="H76">
        <v>5</v>
      </c>
      <c r="I76">
        <v>0.5</v>
      </c>
      <c r="J76">
        <v>100</v>
      </c>
      <c r="K76">
        <v>3</v>
      </c>
      <c r="L76">
        <v>54</v>
      </c>
    </row>
    <row r="77" spans="1:12" x14ac:dyDescent="0.4">
      <c r="A77" t="s">
        <v>121</v>
      </c>
      <c r="B77" t="s">
        <v>38</v>
      </c>
      <c r="C77" t="s">
        <v>52</v>
      </c>
      <c r="D77" t="s">
        <v>35</v>
      </c>
      <c r="E77" t="s">
        <v>42</v>
      </c>
      <c r="F77">
        <f t="shared" ca="1" si="1"/>
        <v>0.31422344956099568</v>
      </c>
      <c r="G77">
        <v>540</v>
      </c>
      <c r="H77">
        <v>4</v>
      </c>
      <c r="I77">
        <v>3</v>
      </c>
      <c r="J77">
        <v>60</v>
      </c>
      <c r="K77">
        <v>2</v>
      </c>
      <c r="L77">
        <v>24</v>
      </c>
    </row>
    <row r="78" spans="1:12" x14ac:dyDescent="0.4">
      <c r="A78" t="s">
        <v>122</v>
      </c>
      <c r="B78" t="s">
        <v>38</v>
      </c>
      <c r="C78" t="s">
        <v>34</v>
      </c>
      <c r="D78" t="s">
        <v>39</v>
      </c>
      <c r="E78" t="s">
        <v>42</v>
      </c>
      <c r="F78">
        <f t="shared" ca="1" si="1"/>
        <v>0.77911217739156169</v>
      </c>
      <c r="G78">
        <v>150</v>
      </c>
      <c r="H78">
        <v>4</v>
      </c>
      <c r="I78">
        <v>1</v>
      </c>
      <c r="J78">
        <v>50</v>
      </c>
      <c r="K78">
        <v>2</v>
      </c>
      <c r="L78">
        <v>52</v>
      </c>
    </row>
    <row r="79" spans="1:12" x14ac:dyDescent="0.4">
      <c r="A79" t="s">
        <v>123</v>
      </c>
      <c r="B79" t="s">
        <v>38</v>
      </c>
      <c r="C79" t="s">
        <v>34</v>
      </c>
      <c r="D79" t="s">
        <v>50</v>
      </c>
      <c r="E79" t="s">
        <v>42</v>
      </c>
      <c r="F79">
        <f t="shared" ca="1" si="1"/>
        <v>0.2645976772702251</v>
      </c>
      <c r="G79">
        <v>200</v>
      </c>
      <c r="H79">
        <v>3</v>
      </c>
      <c r="I79">
        <v>1</v>
      </c>
      <c r="J79">
        <v>30</v>
      </c>
      <c r="K79">
        <v>3</v>
      </c>
      <c r="L79">
        <v>38</v>
      </c>
    </row>
    <row r="80" spans="1:12" x14ac:dyDescent="0.4">
      <c r="A80" t="s">
        <v>124</v>
      </c>
      <c r="B80" t="s">
        <v>38</v>
      </c>
      <c r="C80" t="s">
        <v>34</v>
      </c>
      <c r="D80" t="s">
        <v>39</v>
      </c>
      <c r="E80" t="s">
        <v>36</v>
      </c>
      <c r="F80">
        <f t="shared" ca="1" si="1"/>
        <v>0.13610310688000138</v>
      </c>
      <c r="G80">
        <v>270</v>
      </c>
      <c r="H80">
        <v>5</v>
      </c>
      <c r="I80">
        <v>0.25</v>
      </c>
      <c r="J80">
        <v>50</v>
      </c>
      <c r="K80">
        <v>2</v>
      </c>
      <c r="L80">
        <v>45</v>
      </c>
    </row>
    <row r="81" spans="1:12" x14ac:dyDescent="0.4">
      <c r="A81" t="s">
        <v>125</v>
      </c>
      <c r="B81" t="s">
        <v>33</v>
      </c>
      <c r="C81" t="s">
        <v>52</v>
      </c>
      <c r="D81" t="s">
        <v>50</v>
      </c>
      <c r="E81" t="s">
        <v>42</v>
      </c>
      <c r="F81">
        <f t="shared" ca="1" si="1"/>
        <v>0.15830889199809484</v>
      </c>
      <c r="G81">
        <v>200</v>
      </c>
      <c r="H81">
        <v>2</v>
      </c>
      <c r="I81">
        <v>1</v>
      </c>
      <c r="J81">
        <v>50</v>
      </c>
      <c r="K81">
        <v>3</v>
      </c>
      <c r="L81">
        <v>43</v>
      </c>
    </row>
    <row r="82" spans="1:12" x14ac:dyDescent="0.4">
      <c r="A82" t="s">
        <v>126</v>
      </c>
      <c r="B82" t="s">
        <v>38</v>
      </c>
      <c r="C82" t="s">
        <v>52</v>
      </c>
      <c r="D82" t="s">
        <v>41</v>
      </c>
      <c r="E82" t="s">
        <v>36</v>
      </c>
      <c r="F82">
        <f t="shared" ca="1" si="1"/>
        <v>0.8652806774068299</v>
      </c>
      <c r="G82">
        <v>180</v>
      </c>
      <c r="H82">
        <v>5</v>
      </c>
      <c r="I82">
        <v>0.5</v>
      </c>
      <c r="J82">
        <v>20</v>
      </c>
      <c r="K82">
        <v>4</v>
      </c>
      <c r="L82">
        <v>40</v>
      </c>
    </row>
    <row r="83" spans="1:12" x14ac:dyDescent="0.4">
      <c r="A83" t="s">
        <v>127</v>
      </c>
      <c r="B83" t="s">
        <v>38</v>
      </c>
      <c r="C83" t="s">
        <v>52</v>
      </c>
      <c r="D83" t="s">
        <v>35</v>
      </c>
      <c r="E83" t="s">
        <v>36</v>
      </c>
      <c r="F83">
        <f t="shared" ca="1" si="1"/>
        <v>9.7814437942961074E-2</v>
      </c>
      <c r="G83">
        <v>270</v>
      </c>
      <c r="H83">
        <v>6</v>
      </c>
      <c r="I83">
        <v>0.25</v>
      </c>
      <c r="J83">
        <v>50</v>
      </c>
      <c r="K83">
        <v>5</v>
      </c>
      <c r="L83">
        <v>44</v>
      </c>
    </row>
    <row r="84" spans="1:12" x14ac:dyDescent="0.4">
      <c r="A84" t="s">
        <v>128</v>
      </c>
      <c r="B84" t="s">
        <v>33</v>
      </c>
      <c r="C84" t="s">
        <v>34</v>
      </c>
      <c r="D84" t="s">
        <v>35</v>
      </c>
      <c r="E84" t="s">
        <v>36</v>
      </c>
      <c r="F84">
        <f t="shared" ca="1" si="1"/>
        <v>0.81961582394573018</v>
      </c>
      <c r="G84">
        <v>150</v>
      </c>
      <c r="H84">
        <v>5</v>
      </c>
      <c r="I84">
        <v>1</v>
      </c>
      <c r="J84">
        <v>50</v>
      </c>
      <c r="K84">
        <v>3</v>
      </c>
      <c r="L84">
        <v>54</v>
      </c>
    </row>
    <row r="85" spans="1:12" x14ac:dyDescent="0.4">
      <c r="A85" t="s">
        <v>129</v>
      </c>
      <c r="B85" t="s">
        <v>38</v>
      </c>
      <c r="C85" t="s">
        <v>34</v>
      </c>
      <c r="D85" t="s">
        <v>35</v>
      </c>
      <c r="E85" t="s">
        <v>36</v>
      </c>
      <c r="F85">
        <f t="shared" ca="1" si="1"/>
        <v>0.1461720507160843</v>
      </c>
      <c r="G85">
        <v>90</v>
      </c>
      <c r="H85">
        <v>7</v>
      </c>
      <c r="I85">
        <v>0.5</v>
      </c>
      <c r="J85">
        <v>50</v>
      </c>
      <c r="K85">
        <v>3</v>
      </c>
      <c r="L85">
        <v>75</v>
      </c>
    </row>
    <row r="86" spans="1:12" x14ac:dyDescent="0.4">
      <c r="A86" t="s">
        <v>130</v>
      </c>
      <c r="B86" t="s">
        <v>38</v>
      </c>
      <c r="C86" t="s">
        <v>52</v>
      </c>
      <c r="D86" t="s">
        <v>35</v>
      </c>
      <c r="E86" t="s">
        <v>36</v>
      </c>
      <c r="F86">
        <f t="shared" ca="1" si="1"/>
        <v>0.89709688514376995</v>
      </c>
      <c r="G86">
        <v>135</v>
      </c>
      <c r="H86">
        <v>2</v>
      </c>
      <c r="I86">
        <v>0.25</v>
      </c>
      <c r="J86">
        <v>20</v>
      </c>
      <c r="K86">
        <v>3</v>
      </c>
      <c r="L86">
        <v>51</v>
      </c>
    </row>
    <row r="87" spans="1:12" x14ac:dyDescent="0.4">
      <c r="A87" t="s">
        <v>131</v>
      </c>
      <c r="B87" t="s">
        <v>38</v>
      </c>
      <c r="C87" t="s">
        <v>34</v>
      </c>
      <c r="D87" t="s">
        <v>50</v>
      </c>
      <c r="E87" t="s">
        <v>42</v>
      </c>
      <c r="F87">
        <f t="shared" ca="1" si="1"/>
        <v>0.2175392923952465</v>
      </c>
      <c r="G87">
        <v>90</v>
      </c>
      <c r="H87">
        <v>6</v>
      </c>
      <c r="I87">
        <v>0.25</v>
      </c>
      <c r="J87">
        <v>25</v>
      </c>
      <c r="K87">
        <v>3</v>
      </c>
      <c r="L87">
        <v>69</v>
      </c>
    </row>
    <row r="88" spans="1:12" x14ac:dyDescent="0.4">
      <c r="A88" t="s">
        <v>132</v>
      </c>
      <c r="B88" t="s">
        <v>38</v>
      </c>
      <c r="C88" t="s">
        <v>34</v>
      </c>
      <c r="D88" t="s">
        <v>41</v>
      </c>
      <c r="E88" t="s">
        <v>36</v>
      </c>
      <c r="F88">
        <f t="shared" ca="1" si="1"/>
        <v>0.53521490421278028</v>
      </c>
      <c r="G88">
        <v>500</v>
      </c>
      <c r="H88">
        <v>5</v>
      </c>
      <c r="I88">
        <v>0.5</v>
      </c>
      <c r="J88">
        <v>100</v>
      </c>
      <c r="K88">
        <v>3</v>
      </c>
      <c r="L88">
        <v>31</v>
      </c>
    </row>
    <row r="89" spans="1:12" x14ac:dyDescent="0.4">
      <c r="A89" t="s">
        <v>133</v>
      </c>
      <c r="B89" t="s">
        <v>38</v>
      </c>
      <c r="C89" t="s">
        <v>34</v>
      </c>
      <c r="D89" t="s">
        <v>41</v>
      </c>
      <c r="E89" t="s">
        <v>42</v>
      </c>
      <c r="F89">
        <f t="shared" ca="1" si="1"/>
        <v>0.69297844988901269</v>
      </c>
      <c r="G89">
        <v>270</v>
      </c>
      <c r="H89">
        <v>6</v>
      </c>
      <c r="I89">
        <v>0.75</v>
      </c>
      <c r="J89">
        <v>50</v>
      </c>
      <c r="K89">
        <v>2</v>
      </c>
      <c r="L89">
        <v>41</v>
      </c>
    </row>
    <row r="90" spans="1:12" x14ac:dyDescent="0.4">
      <c r="A90" t="s">
        <v>134</v>
      </c>
      <c r="B90" t="s">
        <v>38</v>
      </c>
      <c r="C90" t="s">
        <v>34</v>
      </c>
      <c r="D90" t="s">
        <v>39</v>
      </c>
      <c r="E90" t="s">
        <v>36</v>
      </c>
      <c r="F90">
        <f t="shared" ca="1" si="1"/>
        <v>0.72064760285315688</v>
      </c>
      <c r="G90">
        <v>180</v>
      </c>
      <c r="H90">
        <v>2</v>
      </c>
      <c r="I90">
        <v>0.25</v>
      </c>
      <c r="J90">
        <v>50</v>
      </c>
      <c r="K90">
        <v>3</v>
      </c>
      <c r="L90">
        <v>47</v>
      </c>
    </row>
    <row r="91" spans="1:12" x14ac:dyDescent="0.4">
      <c r="A91" t="s">
        <v>135</v>
      </c>
      <c r="B91" t="s">
        <v>38</v>
      </c>
      <c r="C91" t="s">
        <v>52</v>
      </c>
      <c r="D91" t="s">
        <v>41</v>
      </c>
      <c r="E91" t="s">
        <v>36</v>
      </c>
      <c r="F91">
        <f t="shared" ca="1" si="1"/>
        <v>0.75859454309498542</v>
      </c>
      <c r="G91">
        <v>550</v>
      </c>
      <c r="H91">
        <v>5</v>
      </c>
      <c r="I91">
        <v>2</v>
      </c>
      <c r="J91">
        <v>150</v>
      </c>
      <c r="K91">
        <v>2</v>
      </c>
      <c r="L91">
        <v>19</v>
      </c>
    </row>
    <row r="92" spans="1:12" x14ac:dyDescent="0.4">
      <c r="A92" t="s">
        <v>136</v>
      </c>
      <c r="B92" t="s">
        <v>33</v>
      </c>
      <c r="C92" t="s">
        <v>52</v>
      </c>
      <c r="D92" t="s">
        <v>41</v>
      </c>
      <c r="E92" t="s">
        <v>42</v>
      </c>
      <c r="F92">
        <f t="shared" ca="1" si="1"/>
        <v>0.62872340277530636</v>
      </c>
      <c r="G92">
        <v>90</v>
      </c>
      <c r="H92">
        <v>4</v>
      </c>
      <c r="I92">
        <v>0.5</v>
      </c>
      <c r="J92">
        <v>100</v>
      </c>
      <c r="K92">
        <v>5</v>
      </c>
      <c r="L92">
        <v>59</v>
      </c>
    </row>
    <row r="93" spans="1:12" x14ac:dyDescent="0.4">
      <c r="A93" t="s">
        <v>137</v>
      </c>
      <c r="B93" t="s">
        <v>33</v>
      </c>
      <c r="C93" t="s">
        <v>77</v>
      </c>
      <c r="D93" t="s">
        <v>41</v>
      </c>
      <c r="E93" t="s">
        <v>42</v>
      </c>
      <c r="F93">
        <f t="shared" ca="1" si="1"/>
        <v>0.81678112375477818</v>
      </c>
      <c r="G93">
        <v>450</v>
      </c>
      <c r="H93">
        <v>6</v>
      </c>
      <c r="I93">
        <v>0.5</v>
      </c>
      <c r="J93">
        <v>30</v>
      </c>
      <c r="K93">
        <v>3</v>
      </c>
      <c r="L93">
        <v>32</v>
      </c>
    </row>
    <row r="94" spans="1:12" x14ac:dyDescent="0.4">
      <c r="A94" t="s">
        <v>138</v>
      </c>
      <c r="B94" t="s">
        <v>38</v>
      </c>
      <c r="C94" t="s">
        <v>52</v>
      </c>
      <c r="D94" t="s">
        <v>39</v>
      </c>
      <c r="E94" t="s">
        <v>42</v>
      </c>
      <c r="F94">
        <f t="shared" ca="1" si="1"/>
        <v>0.86846710137832961</v>
      </c>
      <c r="G94">
        <v>360</v>
      </c>
      <c r="H94">
        <v>4</v>
      </c>
      <c r="I94">
        <v>1.5</v>
      </c>
      <c r="J94">
        <v>50</v>
      </c>
      <c r="K94">
        <v>2</v>
      </c>
      <c r="L94">
        <v>19</v>
      </c>
    </row>
    <row r="95" spans="1:12" x14ac:dyDescent="0.4">
      <c r="A95" t="s">
        <v>139</v>
      </c>
      <c r="B95" t="s">
        <v>38</v>
      </c>
      <c r="C95" t="s">
        <v>34</v>
      </c>
      <c r="D95" t="s">
        <v>35</v>
      </c>
      <c r="E95" t="s">
        <v>42</v>
      </c>
      <c r="F95">
        <f t="shared" ca="1" si="1"/>
        <v>0.92749560565540512</v>
      </c>
      <c r="G95">
        <v>540</v>
      </c>
      <c r="H95">
        <v>4</v>
      </c>
      <c r="I95">
        <v>1</v>
      </c>
      <c r="J95">
        <v>50</v>
      </c>
      <c r="K95">
        <v>3</v>
      </c>
      <c r="L95">
        <v>27</v>
      </c>
    </row>
    <row r="96" spans="1:12" x14ac:dyDescent="0.4">
      <c r="A96" t="s">
        <v>140</v>
      </c>
      <c r="B96" t="s">
        <v>38</v>
      </c>
      <c r="C96" t="s">
        <v>34</v>
      </c>
      <c r="D96" t="s">
        <v>41</v>
      </c>
      <c r="E96" t="s">
        <v>42</v>
      </c>
      <c r="F96">
        <f t="shared" ca="1" si="1"/>
        <v>0.78723488276779485</v>
      </c>
      <c r="G96">
        <v>100</v>
      </c>
      <c r="H96">
        <v>2</v>
      </c>
      <c r="I96">
        <v>0.75</v>
      </c>
      <c r="J96">
        <v>20</v>
      </c>
      <c r="K96">
        <v>4</v>
      </c>
      <c r="L96">
        <v>53</v>
      </c>
    </row>
    <row r="97" spans="1:12" x14ac:dyDescent="0.4">
      <c r="A97" t="s">
        <v>141</v>
      </c>
      <c r="B97" t="s">
        <v>38</v>
      </c>
      <c r="C97" t="s">
        <v>34</v>
      </c>
      <c r="D97" t="s">
        <v>41</v>
      </c>
      <c r="E97" t="s">
        <v>36</v>
      </c>
      <c r="F97">
        <f t="shared" ca="1" si="1"/>
        <v>0.16455014984160499</v>
      </c>
      <c r="G97">
        <v>560</v>
      </c>
      <c r="H97">
        <v>2</v>
      </c>
      <c r="I97">
        <v>0.5</v>
      </c>
      <c r="J97">
        <v>40</v>
      </c>
      <c r="K97">
        <v>3</v>
      </c>
      <c r="L97">
        <v>20</v>
      </c>
    </row>
    <row r="98" spans="1:12" x14ac:dyDescent="0.4">
      <c r="A98" t="s">
        <v>142</v>
      </c>
      <c r="B98" t="s">
        <v>33</v>
      </c>
      <c r="C98" t="s">
        <v>52</v>
      </c>
      <c r="D98" t="s">
        <v>98</v>
      </c>
      <c r="E98" t="s">
        <v>36</v>
      </c>
      <c r="F98">
        <f t="shared" ca="1" si="1"/>
        <v>0.39741732615072178</v>
      </c>
      <c r="G98">
        <v>200</v>
      </c>
      <c r="H98">
        <v>9</v>
      </c>
      <c r="I98">
        <v>0.5</v>
      </c>
      <c r="J98">
        <v>120</v>
      </c>
      <c r="K98">
        <v>3</v>
      </c>
      <c r="L98">
        <v>39</v>
      </c>
    </row>
    <row r="99" spans="1:12" x14ac:dyDescent="0.4">
      <c r="A99" t="s">
        <v>143</v>
      </c>
      <c r="B99" t="s">
        <v>33</v>
      </c>
      <c r="C99" t="s">
        <v>52</v>
      </c>
      <c r="D99" t="s">
        <v>35</v>
      </c>
      <c r="E99" t="s">
        <v>42</v>
      </c>
      <c r="F99">
        <f t="shared" ca="1" si="1"/>
        <v>0.91364304036456623</v>
      </c>
      <c r="G99">
        <v>360</v>
      </c>
      <c r="H99">
        <v>1</v>
      </c>
      <c r="I99">
        <v>1</v>
      </c>
      <c r="J99">
        <v>50</v>
      </c>
      <c r="K99">
        <v>3</v>
      </c>
      <c r="L99">
        <v>29</v>
      </c>
    </row>
    <row r="100" spans="1:12" x14ac:dyDescent="0.4">
      <c r="A100" t="s">
        <v>144</v>
      </c>
      <c r="B100" t="s">
        <v>38</v>
      </c>
      <c r="C100" t="s">
        <v>34</v>
      </c>
      <c r="D100" t="s">
        <v>35</v>
      </c>
      <c r="E100" t="s">
        <v>36</v>
      </c>
      <c r="F100">
        <f t="shared" ca="1" si="1"/>
        <v>0.31174817331121474</v>
      </c>
      <c r="G100">
        <v>360</v>
      </c>
      <c r="H100">
        <v>4</v>
      </c>
      <c r="I100">
        <v>0.25</v>
      </c>
      <c r="J100">
        <v>150</v>
      </c>
      <c r="K100">
        <v>3</v>
      </c>
      <c r="L100">
        <v>36</v>
      </c>
    </row>
    <row r="101" spans="1:12" x14ac:dyDescent="0.4">
      <c r="A101" t="s">
        <v>145</v>
      </c>
      <c r="B101" t="s">
        <v>33</v>
      </c>
      <c r="C101" t="s">
        <v>34</v>
      </c>
      <c r="D101" t="s">
        <v>39</v>
      </c>
      <c r="E101" t="s">
        <v>36</v>
      </c>
      <c r="F101">
        <f t="shared" ca="1" si="1"/>
        <v>0.77415350830110019</v>
      </c>
      <c r="G101">
        <v>450</v>
      </c>
      <c r="H101">
        <v>1</v>
      </c>
      <c r="I101">
        <v>2</v>
      </c>
      <c r="J101">
        <v>100</v>
      </c>
      <c r="K101">
        <v>4</v>
      </c>
      <c r="L101">
        <v>18</v>
      </c>
    </row>
    <row r="102" spans="1:12" x14ac:dyDescent="0.4">
      <c r="A102" t="s">
        <v>146</v>
      </c>
      <c r="B102" t="s">
        <v>38</v>
      </c>
      <c r="C102" t="s">
        <v>34</v>
      </c>
      <c r="D102" t="s">
        <v>35</v>
      </c>
      <c r="E102" t="s">
        <v>36</v>
      </c>
      <c r="F102">
        <f t="shared" ca="1" si="1"/>
        <v>0.24567019335537599</v>
      </c>
      <c r="G102">
        <v>50</v>
      </c>
      <c r="H102">
        <v>4</v>
      </c>
      <c r="I102">
        <v>0.5</v>
      </c>
      <c r="J102">
        <v>25</v>
      </c>
      <c r="K102">
        <v>2</v>
      </c>
      <c r="L102">
        <v>67</v>
      </c>
    </row>
    <row r="103" spans="1:12" x14ac:dyDescent="0.4">
      <c r="A103" t="s">
        <v>147</v>
      </c>
      <c r="B103" t="s">
        <v>38</v>
      </c>
      <c r="C103" t="s">
        <v>34</v>
      </c>
      <c r="D103" t="s">
        <v>35</v>
      </c>
      <c r="E103" t="s">
        <v>36</v>
      </c>
      <c r="F103">
        <f t="shared" ca="1" si="1"/>
        <v>0.33299267025159562</v>
      </c>
      <c r="G103">
        <v>100</v>
      </c>
      <c r="H103">
        <v>8</v>
      </c>
      <c r="I103">
        <v>0.5</v>
      </c>
      <c r="J103">
        <v>200</v>
      </c>
      <c r="K103">
        <v>2</v>
      </c>
      <c r="L103">
        <v>56</v>
      </c>
    </row>
    <row r="104" spans="1:12" x14ac:dyDescent="0.4">
      <c r="A104" t="s">
        <v>148</v>
      </c>
      <c r="B104" t="s">
        <v>38</v>
      </c>
      <c r="C104" t="s">
        <v>34</v>
      </c>
      <c r="D104" t="s">
        <v>39</v>
      </c>
      <c r="E104" t="s">
        <v>36</v>
      </c>
      <c r="F104">
        <f t="shared" ca="1" si="1"/>
        <v>0.11959618503933145</v>
      </c>
      <c r="G104">
        <v>90</v>
      </c>
      <c r="H104">
        <v>4</v>
      </c>
      <c r="I104">
        <v>0.25</v>
      </c>
      <c r="J104">
        <v>30</v>
      </c>
      <c r="K104">
        <v>3</v>
      </c>
      <c r="L104">
        <v>74</v>
      </c>
    </row>
    <row r="105" spans="1:12" x14ac:dyDescent="0.4">
      <c r="A105" t="s">
        <v>149</v>
      </c>
      <c r="B105" t="s">
        <v>38</v>
      </c>
      <c r="C105" t="s">
        <v>34</v>
      </c>
      <c r="D105" t="s">
        <v>41</v>
      </c>
      <c r="E105" t="s">
        <v>36</v>
      </c>
      <c r="F105">
        <f t="shared" ca="1" si="1"/>
        <v>7.0811846406435675E-2</v>
      </c>
      <c r="G105">
        <v>90</v>
      </c>
      <c r="H105">
        <v>2</v>
      </c>
      <c r="I105">
        <v>1</v>
      </c>
      <c r="J105">
        <v>50</v>
      </c>
      <c r="K105">
        <v>2</v>
      </c>
      <c r="L105">
        <v>47</v>
      </c>
    </row>
    <row r="106" spans="1:12" x14ac:dyDescent="0.4">
      <c r="A106" t="s">
        <v>150</v>
      </c>
      <c r="B106" t="s">
        <v>33</v>
      </c>
      <c r="C106" t="s">
        <v>34</v>
      </c>
      <c r="D106" t="s">
        <v>35</v>
      </c>
      <c r="E106" t="s">
        <v>36</v>
      </c>
      <c r="F106">
        <f t="shared" ca="1" si="1"/>
        <v>9.5033258142041555E-2</v>
      </c>
      <c r="G106">
        <v>95</v>
      </c>
      <c r="H106">
        <v>3</v>
      </c>
      <c r="I106">
        <v>0.5</v>
      </c>
      <c r="J106">
        <v>50</v>
      </c>
      <c r="K106">
        <v>6</v>
      </c>
      <c r="L106">
        <v>61</v>
      </c>
    </row>
    <row r="107" spans="1:12" x14ac:dyDescent="0.4">
      <c r="A107" t="s">
        <v>151</v>
      </c>
      <c r="B107" t="s">
        <v>38</v>
      </c>
      <c r="C107" t="s">
        <v>52</v>
      </c>
      <c r="D107" t="s">
        <v>35</v>
      </c>
      <c r="E107" t="s">
        <v>36</v>
      </c>
      <c r="F107">
        <f t="shared" ca="1" si="1"/>
        <v>0.3311794852962423</v>
      </c>
      <c r="G107">
        <v>50</v>
      </c>
      <c r="H107">
        <v>4</v>
      </c>
      <c r="I107">
        <v>0.5</v>
      </c>
      <c r="J107">
        <v>31</v>
      </c>
      <c r="K107">
        <v>3</v>
      </c>
      <c r="L107">
        <v>50</v>
      </c>
    </row>
    <row r="108" spans="1:12" x14ac:dyDescent="0.4">
      <c r="A108" t="s">
        <v>152</v>
      </c>
      <c r="B108" t="s">
        <v>38</v>
      </c>
      <c r="C108" t="s">
        <v>34</v>
      </c>
      <c r="D108" t="s">
        <v>41</v>
      </c>
      <c r="E108" t="s">
        <v>42</v>
      </c>
      <c r="F108">
        <f t="shared" ca="1" si="1"/>
        <v>0.28225926588318462</v>
      </c>
      <c r="G108">
        <v>180</v>
      </c>
      <c r="H108">
        <v>2</v>
      </c>
      <c r="I108">
        <v>0.5</v>
      </c>
      <c r="J108">
        <v>50</v>
      </c>
      <c r="K108">
        <v>5</v>
      </c>
      <c r="L108">
        <v>48</v>
      </c>
    </row>
    <row r="109" spans="1:12" x14ac:dyDescent="0.4">
      <c r="A109" t="s">
        <v>153</v>
      </c>
      <c r="B109" t="s">
        <v>33</v>
      </c>
      <c r="C109" t="s">
        <v>34</v>
      </c>
      <c r="D109" t="s">
        <v>35</v>
      </c>
      <c r="E109" t="s">
        <v>36</v>
      </c>
      <c r="F109">
        <f t="shared" ca="1" si="1"/>
        <v>0.54723227484663295</v>
      </c>
      <c r="G109">
        <v>360</v>
      </c>
      <c r="H109">
        <v>4</v>
      </c>
      <c r="I109">
        <v>1</v>
      </c>
      <c r="J109">
        <v>20</v>
      </c>
      <c r="K109">
        <v>2</v>
      </c>
      <c r="L109">
        <v>31</v>
      </c>
    </row>
    <row r="110" spans="1:12" x14ac:dyDescent="0.4">
      <c r="A110" t="s">
        <v>154</v>
      </c>
      <c r="B110" t="s">
        <v>33</v>
      </c>
      <c r="C110" t="s">
        <v>52</v>
      </c>
      <c r="D110" t="s">
        <v>41</v>
      </c>
      <c r="E110" t="s">
        <v>42</v>
      </c>
      <c r="F110">
        <f t="shared" ca="1" si="1"/>
        <v>0.92658422380694083</v>
      </c>
      <c r="G110">
        <v>50</v>
      </c>
      <c r="H110">
        <v>4</v>
      </c>
      <c r="I110">
        <v>0.5</v>
      </c>
      <c r="J110">
        <v>50</v>
      </c>
      <c r="K110">
        <v>3</v>
      </c>
      <c r="L110">
        <v>65</v>
      </c>
    </row>
    <row r="111" spans="1:12" x14ac:dyDescent="0.4">
      <c r="A111" t="s">
        <v>155</v>
      </c>
      <c r="B111" t="s">
        <v>38</v>
      </c>
      <c r="C111" t="s">
        <v>52</v>
      </c>
      <c r="D111" t="s">
        <v>41</v>
      </c>
      <c r="E111" t="s">
        <v>42</v>
      </c>
      <c r="F111">
        <f t="shared" ca="1" si="1"/>
        <v>0.52644645442318405</v>
      </c>
      <c r="G111">
        <v>180</v>
      </c>
      <c r="H111">
        <v>4</v>
      </c>
      <c r="I111">
        <v>1</v>
      </c>
      <c r="J111">
        <v>100</v>
      </c>
      <c r="K111">
        <v>3</v>
      </c>
      <c r="L111">
        <v>47</v>
      </c>
    </row>
    <row r="112" spans="1:12" x14ac:dyDescent="0.4">
      <c r="A112" t="s">
        <v>156</v>
      </c>
      <c r="B112" t="s">
        <v>38</v>
      </c>
      <c r="C112" t="s">
        <v>34</v>
      </c>
      <c r="D112" t="s">
        <v>35</v>
      </c>
      <c r="E112" t="s">
        <v>36</v>
      </c>
      <c r="F112">
        <f t="shared" ca="1" si="1"/>
        <v>0.12055337862589799</v>
      </c>
      <c r="G112">
        <v>50</v>
      </c>
      <c r="H112">
        <v>3</v>
      </c>
      <c r="I112">
        <v>0.5</v>
      </c>
      <c r="J112">
        <v>20</v>
      </c>
      <c r="K112">
        <v>2</v>
      </c>
      <c r="L112">
        <v>62</v>
      </c>
    </row>
    <row r="113" spans="1:12" x14ac:dyDescent="0.4">
      <c r="A113" t="s">
        <v>157</v>
      </c>
      <c r="B113" t="s">
        <v>38</v>
      </c>
      <c r="C113" t="s">
        <v>34</v>
      </c>
      <c r="D113" t="s">
        <v>39</v>
      </c>
      <c r="E113" t="s">
        <v>36</v>
      </c>
      <c r="F113">
        <f t="shared" ca="1" si="1"/>
        <v>0.88666548716328919</v>
      </c>
      <c r="G113">
        <v>330</v>
      </c>
      <c r="H113">
        <v>2</v>
      </c>
      <c r="I113">
        <v>2</v>
      </c>
      <c r="J113">
        <v>50</v>
      </c>
      <c r="K113">
        <v>4</v>
      </c>
      <c r="L113">
        <v>39</v>
      </c>
    </row>
    <row r="114" spans="1:12" x14ac:dyDescent="0.4">
      <c r="A114" t="s">
        <v>158</v>
      </c>
      <c r="B114" t="s">
        <v>33</v>
      </c>
      <c r="C114" t="s">
        <v>34</v>
      </c>
      <c r="D114" t="s">
        <v>35</v>
      </c>
      <c r="E114" t="s">
        <v>36</v>
      </c>
      <c r="F114">
        <f t="shared" ca="1" si="1"/>
        <v>0.74149303562496127</v>
      </c>
      <c r="G114">
        <v>150</v>
      </c>
      <c r="H114">
        <v>3</v>
      </c>
      <c r="I114">
        <v>0.25</v>
      </c>
      <c r="J114">
        <v>40</v>
      </c>
      <c r="K114">
        <v>4</v>
      </c>
      <c r="L114">
        <v>50</v>
      </c>
    </row>
    <row r="115" spans="1:12" x14ac:dyDescent="0.4">
      <c r="A115" t="s">
        <v>159</v>
      </c>
      <c r="B115" t="s">
        <v>33</v>
      </c>
      <c r="C115" t="s">
        <v>52</v>
      </c>
      <c r="D115" t="s">
        <v>41</v>
      </c>
      <c r="E115" t="s">
        <v>36</v>
      </c>
      <c r="F115">
        <f t="shared" ca="1" si="1"/>
        <v>0.82899709285603163</v>
      </c>
      <c r="G115">
        <v>540</v>
      </c>
      <c r="H115">
        <v>8</v>
      </c>
      <c r="I115">
        <v>0.5</v>
      </c>
      <c r="J115">
        <v>20</v>
      </c>
      <c r="K115">
        <v>3</v>
      </c>
      <c r="L115">
        <v>31</v>
      </c>
    </row>
    <row r="116" spans="1:12" x14ac:dyDescent="0.4">
      <c r="A116" t="s">
        <v>160</v>
      </c>
      <c r="B116" t="s">
        <v>38</v>
      </c>
      <c r="C116" t="s">
        <v>34</v>
      </c>
      <c r="D116" t="s">
        <v>98</v>
      </c>
      <c r="E116" t="s">
        <v>36</v>
      </c>
      <c r="F116">
        <f t="shared" ca="1" si="1"/>
        <v>0.58886333457412754</v>
      </c>
      <c r="G116">
        <v>150</v>
      </c>
      <c r="H116">
        <v>6</v>
      </c>
      <c r="I116">
        <v>1</v>
      </c>
      <c r="J116">
        <v>100</v>
      </c>
      <c r="K116">
        <v>2</v>
      </c>
      <c r="L116">
        <v>54</v>
      </c>
    </row>
    <row r="117" spans="1:12" x14ac:dyDescent="0.4">
      <c r="A117" t="s">
        <v>161</v>
      </c>
      <c r="B117" t="s">
        <v>38</v>
      </c>
      <c r="C117" t="s">
        <v>34</v>
      </c>
      <c r="D117" t="s">
        <v>39</v>
      </c>
      <c r="E117" t="s">
        <v>36</v>
      </c>
      <c r="F117">
        <f t="shared" ca="1" si="1"/>
        <v>0.26115044819096933</v>
      </c>
      <c r="G117">
        <v>100</v>
      </c>
      <c r="H117">
        <v>2</v>
      </c>
      <c r="I117">
        <v>0.75</v>
      </c>
      <c r="J117">
        <v>25</v>
      </c>
      <c r="K117">
        <v>2</v>
      </c>
      <c r="L117">
        <v>47</v>
      </c>
    </row>
    <row r="118" spans="1:12" x14ac:dyDescent="0.4">
      <c r="A118" t="s">
        <v>162</v>
      </c>
      <c r="B118" t="s">
        <v>38</v>
      </c>
      <c r="C118" t="s">
        <v>34</v>
      </c>
      <c r="D118" t="s">
        <v>39</v>
      </c>
      <c r="E118" t="s">
        <v>36</v>
      </c>
      <c r="F118">
        <f t="shared" ca="1" si="1"/>
        <v>1.2000884834268755E-2</v>
      </c>
      <c r="G118">
        <v>220</v>
      </c>
      <c r="H118">
        <v>6</v>
      </c>
      <c r="I118">
        <v>1</v>
      </c>
      <c r="J118">
        <v>40</v>
      </c>
      <c r="K118">
        <v>3</v>
      </c>
      <c r="L118">
        <v>37</v>
      </c>
    </row>
    <row r="119" spans="1:12" x14ac:dyDescent="0.4">
      <c r="A119" t="s">
        <v>163</v>
      </c>
      <c r="B119" t="s">
        <v>38</v>
      </c>
      <c r="C119" t="s">
        <v>34</v>
      </c>
      <c r="D119" t="s">
        <v>41</v>
      </c>
      <c r="E119" t="s">
        <v>36</v>
      </c>
      <c r="F119">
        <f t="shared" ca="1" si="1"/>
        <v>0.29852535056839946</v>
      </c>
      <c r="G119">
        <v>330</v>
      </c>
      <c r="H119">
        <v>7</v>
      </c>
      <c r="I119">
        <v>1</v>
      </c>
      <c r="J119">
        <v>100</v>
      </c>
      <c r="K119">
        <v>3</v>
      </c>
      <c r="L119">
        <v>45</v>
      </c>
    </row>
    <row r="120" spans="1:12" x14ac:dyDescent="0.4">
      <c r="A120" t="s">
        <v>164</v>
      </c>
      <c r="B120" t="s">
        <v>38</v>
      </c>
      <c r="C120" t="s">
        <v>34</v>
      </c>
      <c r="D120" t="s">
        <v>35</v>
      </c>
      <c r="E120" t="s">
        <v>36</v>
      </c>
      <c r="F120">
        <f t="shared" ca="1" si="1"/>
        <v>0.11779129349830131</v>
      </c>
      <c r="G120">
        <v>180</v>
      </c>
      <c r="H120">
        <v>2</v>
      </c>
      <c r="I120">
        <v>0.5</v>
      </c>
      <c r="J120">
        <v>25</v>
      </c>
      <c r="K120">
        <v>5</v>
      </c>
      <c r="L120">
        <v>40</v>
      </c>
    </row>
    <row r="121" spans="1:12" x14ac:dyDescent="0.4">
      <c r="A121" t="s">
        <v>165</v>
      </c>
      <c r="B121" t="s">
        <v>38</v>
      </c>
      <c r="C121" t="s">
        <v>34</v>
      </c>
      <c r="D121" t="s">
        <v>35</v>
      </c>
      <c r="E121" t="s">
        <v>36</v>
      </c>
      <c r="F121">
        <f t="shared" ca="1" si="1"/>
        <v>0.25333560390694365</v>
      </c>
      <c r="G121">
        <v>200</v>
      </c>
      <c r="H121">
        <v>7</v>
      </c>
      <c r="I121">
        <v>1</v>
      </c>
      <c r="J121">
        <v>50</v>
      </c>
      <c r="K121">
        <v>3</v>
      </c>
      <c r="L121">
        <v>43</v>
      </c>
    </row>
    <row r="122" spans="1:12" x14ac:dyDescent="0.4">
      <c r="A122" t="s">
        <v>166</v>
      </c>
      <c r="B122" t="s">
        <v>33</v>
      </c>
      <c r="C122" t="s">
        <v>34</v>
      </c>
      <c r="D122" t="s">
        <v>35</v>
      </c>
      <c r="E122" t="s">
        <v>36</v>
      </c>
      <c r="F122">
        <f t="shared" ca="1" si="1"/>
        <v>7.3391191359621022E-2</v>
      </c>
      <c r="G122">
        <v>100</v>
      </c>
      <c r="H122">
        <v>6</v>
      </c>
      <c r="I122">
        <v>0.5</v>
      </c>
      <c r="J122">
        <v>40</v>
      </c>
      <c r="K122">
        <v>5</v>
      </c>
      <c r="L122">
        <v>56</v>
      </c>
    </row>
    <row r="123" spans="1:12" x14ac:dyDescent="0.4">
      <c r="A123" t="s">
        <v>167</v>
      </c>
      <c r="B123" t="s">
        <v>33</v>
      </c>
      <c r="C123" t="s">
        <v>34</v>
      </c>
      <c r="D123" t="s">
        <v>41</v>
      </c>
      <c r="E123" t="s">
        <v>42</v>
      </c>
      <c r="F123">
        <f t="shared" ca="1" si="1"/>
        <v>0.91286329337172867</v>
      </c>
      <c r="G123">
        <v>90</v>
      </c>
      <c r="H123">
        <v>2</v>
      </c>
      <c r="I123">
        <v>0.25</v>
      </c>
      <c r="J123">
        <v>20</v>
      </c>
      <c r="K123">
        <v>2</v>
      </c>
      <c r="L123">
        <v>57</v>
      </c>
    </row>
    <row r="124" spans="1:12" x14ac:dyDescent="0.4">
      <c r="A124" t="s">
        <v>168</v>
      </c>
      <c r="B124" t="s">
        <v>33</v>
      </c>
      <c r="C124" t="s">
        <v>34</v>
      </c>
      <c r="D124" t="s">
        <v>35</v>
      </c>
      <c r="E124" t="s">
        <v>36</v>
      </c>
      <c r="F124">
        <f t="shared" ca="1" si="1"/>
        <v>0.33470958246370353</v>
      </c>
      <c r="G124">
        <v>250</v>
      </c>
      <c r="H124">
        <v>3</v>
      </c>
      <c r="I124">
        <v>0.5</v>
      </c>
      <c r="J124">
        <v>30</v>
      </c>
      <c r="K124">
        <v>3</v>
      </c>
      <c r="L124">
        <v>42</v>
      </c>
    </row>
    <row r="125" spans="1:12" x14ac:dyDescent="0.4">
      <c r="A125" t="s">
        <v>169</v>
      </c>
      <c r="B125" t="s">
        <v>38</v>
      </c>
      <c r="C125" t="s">
        <v>52</v>
      </c>
      <c r="D125" t="s">
        <v>35</v>
      </c>
      <c r="E125" t="s">
        <v>36</v>
      </c>
      <c r="F125">
        <f t="shared" ca="1" si="1"/>
        <v>0.80726552825792719</v>
      </c>
      <c r="G125">
        <v>70</v>
      </c>
      <c r="H125">
        <v>3</v>
      </c>
      <c r="I125">
        <v>0.5</v>
      </c>
      <c r="J125">
        <v>40</v>
      </c>
      <c r="K125">
        <v>2</v>
      </c>
      <c r="L125">
        <v>63</v>
      </c>
    </row>
    <row r="126" spans="1:12" x14ac:dyDescent="0.4">
      <c r="A126" t="s">
        <v>170</v>
      </c>
      <c r="B126" t="s">
        <v>33</v>
      </c>
      <c r="C126" t="s">
        <v>100</v>
      </c>
      <c r="D126" t="s">
        <v>35</v>
      </c>
      <c r="E126" t="s">
        <v>36</v>
      </c>
      <c r="F126">
        <f t="shared" ca="1" si="1"/>
        <v>0.14282238435345496</v>
      </c>
      <c r="G126">
        <v>100</v>
      </c>
      <c r="H126">
        <v>1</v>
      </c>
      <c r="I126">
        <v>0.5</v>
      </c>
      <c r="J126">
        <v>30</v>
      </c>
      <c r="K126">
        <v>2</v>
      </c>
      <c r="L126">
        <v>62</v>
      </c>
    </row>
    <row r="127" spans="1:12" x14ac:dyDescent="0.4">
      <c r="A127" t="s">
        <v>171</v>
      </c>
      <c r="B127" t="s">
        <v>38</v>
      </c>
      <c r="C127" t="s">
        <v>52</v>
      </c>
      <c r="D127" t="s">
        <v>41</v>
      </c>
      <c r="E127" t="s">
        <v>36</v>
      </c>
      <c r="F127">
        <f t="shared" ca="1" si="1"/>
        <v>0.27317384077888474</v>
      </c>
      <c r="G127">
        <v>270</v>
      </c>
      <c r="H127">
        <v>5</v>
      </c>
      <c r="I127">
        <v>0.5</v>
      </c>
      <c r="J127">
        <v>350</v>
      </c>
      <c r="K127">
        <v>3</v>
      </c>
      <c r="L127">
        <v>37</v>
      </c>
    </row>
    <row r="128" spans="1:12" x14ac:dyDescent="0.4">
      <c r="A128" t="s">
        <v>172</v>
      </c>
      <c r="B128" t="s">
        <v>38</v>
      </c>
      <c r="C128" t="s">
        <v>34</v>
      </c>
      <c r="D128" t="s">
        <v>41</v>
      </c>
      <c r="E128" t="s">
        <v>36</v>
      </c>
      <c r="F128">
        <f t="shared" ca="1" si="1"/>
        <v>0.86589360663038772</v>
      </c>
      <c r="G128">
        <v>270</v>
      </c>
      <c r="H128">
        <v>6</v>
      </c>
      <c r="I128">
        <v>1</v>
      </c>
      <c r="J128">
        <v>25</v>
      </c>
      <c r="K128">
        <v>2</v>
      </c>
      <c r="L128">
        <v>42</v>
      </c>
    </row>
    <row r="129" spans="1:12" x14ac:dyDescent="0.4">
      <c r="A129" t="s">
        <v>173</v>
      </c>
      <c r="B129" t="s">
        <v>38</v>
      </c>
      <c r="C129" t="s">
        <v>52</v>
      </c>
      <c r="D129" t="s">
        <v>41</v>
      </c>
      <c r="E129" t="s">
        <v>36</v>
      </c>
      <c r="F129">
        <f t="shared" ca="1" si="1"/>
        <v>0.14911258798259508</v>
      </c>
      <c r="G129">
        <v>300</v>
      </c>
      <c r="H129">
        <v>5</v>
      </c>
      <c r="I129">
        <v>1</v>
      </c>
      <c r="J129">
        <v>50</v>
      </c>
      <c r="K129">
        <v>2</v>
      </c>
      <c r="L129">
        <v>41</v>
      </c>
    </row>
    <row r="130" spans="1:12" x14ac:dyDescent="0.4">
      <c r="A130" t="s">
        <v>174</v>
      </c>
      <c r="B130" t="s">
        <v>38</v>
      </c>
      <c r="C130" t="s">
        <v>34</v>
      </c>
      <c r="D130" t="s">
        <v>41</v>
      </c>
      <c r="E130" t="s">
        <v>36</v>
      </c>
      <c r="F130">
        <f t="shared" ref="F130:F193" ca="1" si="2">RAND()</f>
        <v>0.44456280901104439</v>
      </c>
      <c r="G130">
        <v>540</v>
      </c>
      <c r="H130">
        <v>5</v>
      </c>
      <c r="I130">
        <v>0.5</v>
      </c>
      <c r="J130">
        <v>40</v>
      </c>
      <c r="K130">
        <v>2</v>
      </c>
      <c r="L130">
        <v>19</v>
      </c>
    </row>
    <row r="131" spans="1:12" x14ac:dyDescent="0.4">
      <c r="A131" t="s">
        <v>175</v>
      </c>
      <c r="B131" t="s">
        <v>38</v>
      </c>
      <c r="C131" t="s">
        <v>34</v>
      </c>
      <c r="D131" t="s">
        <v>98</v>
      </c>
      <c r="E131" t="s">
        <v>42</v>
      </c>
      <c r="F131">
        <f t="shared" ca="1" si="2"/>
        <v>0.13099377418758995</v>
      </c>
      <c r="G131">
        <v>100</v>
      </c>
      <c r="H131">
        <v>5</v>
      </c>
      <c r="I131">
        <v>0.5</v>
      </c>
      <c r="J131">
        <v>250</v>
      </c>
      <c r="K131">
        <v>2</v>
      </c>
      <c r="L131">
        <v>62</v>
      </c>
    </row>
    <row r="132" spans="1:12" x14ac:dyDescent="0.4">
      <c r="A132" t="s">
        <v>176</v>
      </c>
      <c r="B132" t="s">
        <v>38</v>
      </c>
      <c r="C132" t="s">
        <v>34</v>
      </c>
      <c r="D132" t="s">
        <v>35</v>
      </c>
      <c r="E132" t="s">
        <v>42</v>
      </c>
      <c r="F132">
        <f t="shared" ca="1" si="2"/>
        <v>0.30957293365423533</v>
      </c>
      <c r="G132">
        <v>540</v>
      </c>
      <c r="H132">
        <v>7</v>
      </c>
      <c r="I132">
        <v>1</v>
      </c>
      <c r="J132">
        <v>40</v>
      </c>
      <c r="K132">
        <v>2</v>
      </c>
      <c r="L132">
        <v>28</v>
      </c>
    </row>
    <row r="133" spans="1:12" x14ac:dyDescent="0.4">
      <c r="A133" t="s">
        <v>177</v>
      </c>
      <c r="B133" t="s">
        <v>33</v>
      </c>
      <c r="C133" t="s">
        <v>45</v>
      </c>
      <c r="D133" t="s">
        <v>41</v>
      </c>
      <c r="E133" t="s">
        <v>36</v>
      </c>
      <c r="F133">
        <f t="shared" ca="1" si="2"/>
        <v>0.58516095901385656</v>
      </c>
      <c r="G133">
        <v>135</v>
      </c>
      <c r="H133">
        <v>5</v>
      </c>
      <c r="I133">
        <v>0.5</v>
      </c>
      <c r="J133">
        <v>20</v>
      </c>
      <c r="K133">
        <v>3</v>
      </c>
      <c r="L133">
        <v>50</v>
      </c>
    </row>
    <row r="134" spans="1:12" x14ac:dyDescent="0.4">
      <c r="A134" t="s">
        <v>178</v>
      </c>
      <c r="B134" t="s">
        <v>38</v>
      </c>
      <c r="C134" t="s">
        <v>34</v>
      </c>
      <c r="D134" t="s">
        <v>41</v>
      </c>
      <c r="E134" t="s">
        <v>42</v>
      </c>
      <c r="F134">
        <f t="shared" ca="1" si="2"/>
        <v>0.35611118823092192</v>
      </c>
      <c r="G134">
        <v>360</v>
      </c>
      <c r="H134">
        <v>5</v>
      </c>
      <c r="I134">
        <v>1</v>
      </c>
      <c r="J134">
        <v>30</v>
      </c>
      <c r="K134">
        <v>4</v>
      </c>
      <c r="L134">
        <v>28</v>
      </c>
    </row>
    <row r="135" spans="1:12" x14ac:dyDescent="0.4">
      <c r="A135" t="s">
        <v>179</v>
      </c>
      <c r="B135" t="s">
        <v>38</v>
      </c>
      <c r="C135" t="s">
        <v>34</v>
      </c>
      <c r="D135" t="s">
        <v>35</v>
      </c>
      <c r="E135" t="s">
        <v>36</v>
      </c>
      <c r="F135">
        <f t="shared" ca="1" si="2"/>
        <v>0.4946461356318127</v>
      </c>
      <c r="G135">
        <v>50</v>
      </c>
      <c r="H135">
        <v>5</v>
      </c>
      <c r="I135">
        <v>1</v>
      </c>
      <c r="J135">
        <v>50</v>
      </c>
      <c r="K135">
        <v>3</v>
      </c>
      <c r="L135">
        <v>63</v>
      </c>
    </row>
    <row r="136" spans="1:12" x14ac:dyDescent="0.4">
      <c r="A136" t="s">
        <v>180</v>
      </c>
      <c r="B136" t="s">
        <v>33</v>
      </c>
      <c r="C136" t="s">
        <v>34</v>
      </c>
      <c r="D136" t="s">
        <v>35</v>
      </c>
      <c r="E136" t="s">
        <v>36</v>
      </c>
      <c r="F136">
        <f t="shared" ca="1" si="2"/>
        <v>0.24216407713313925</v>
      </c>
      <c r="G136">
        <v>450</v>
      </c>
      <c r="H136">
        <v>4</v>
      </c>
      <c r="I136">
        <v>0.5</v>
      </c>
      <c r="J136">
        <v>20</v>
      </c>
      <c r="K136">
        <v>3</v>
      </c>
      <c r="L136">
        <v>31</v>
      </c>
    </row>
    <row r="137" spans="1:12" x14ac:dyDescent="0.4">
      <c r="A137" t="s">
        <v>181</v>
      </c>
      <c r="B137" t="s">
        <v>38</v>
      </c>
      <c r="C137" t="s">
        <v>34</v>
      </c>
      <c r="D137" t="s">
        <v>35</v>
      </c>
      <c r="E137" t="s">
        <v>36</v>
      </c>
      <c r="F137">
        <f t="shared" ca="1" si="2"/>
        <v>0.56650895929590839</v>
      </c>
      <c r="G137">
        <v>180</v>
      </c>
      <c r="H137">
        <v>6</v>
      </c>
      <c r="I137">
        <v>0.5</v>
      </c>
      <c r="J137">
        <v>200</v>
      </c>
      <c r="K137">
        <v>3</v>
      </c>
      <c r="L137">
        <v>48</v>
      </c>
    </row>
    <row r="138" spans="1:12" x14ac:dyDescent="0.4">
      <c r="A138" t="s">
        <v>182</v>
      </c>
      <c r="B138" t="s">
        <v>38</v>
      </c>
      <c r="C138" t="s">
        <v>34</v>
      </c>
      <c r="D138" t="s">
        <v>39</v>
      </c>
      <c r="E138" t="s">
        <v>42</v>
      </c>
      <c r="F138">
        <f t="shared" ca="1" si="2"/>
        <v>0.40701855500678386</v>
      </c>
      <c r="G138">
        <v>360</v>
      </c>
      <c r="H138">
        <v>5</v>
      </c>
      <c r="I138">
        <v>2.5</v>
      </c>
      <c r="J138">
        <v>150</v>
      </c>
      <c r="K138">
        <v>2</v>
      </c>
      <c r="L138">
        <v>43</v>
      </c>
    </row>
    <row r="139" spans="1:12" x14ac:dyDescent="0.4">
      <c r="A139" t="s">
        <v>183</v>
      </c>
      <c r="B139" t="s">
        <v>33</v>
      </c>
      <c r="C139" t="s">
        <v>52</v>
      </c>
      <c r="D139" t="s">
        <v>41</v>
      </c>
      <c r="E139" t="s">
        <v>36</v>
      </c>
      <c r="F139">
        <f t="shared" ca="1" si="2"/>
        <v>0.86272745899389625</v>
      </c>
      <c r="G139">
        <v>360</v>
      </c>
      <c r="H139">
        <v>2</v>
      </c>
      <c r="I139">
        <v>1</v>
      </c>
      <c r="J139">
        <v>25</v>
      </c>
      <c r="K139">
        <v>4</v>
      </c>
      <c r="L139">
        <v>28</v>
      </c>
    </row>
    <row r="140" spans="1:12" x14ac:dyDescent="0.4">
      <c r="A140" t="s">
        <v>184</v>
      </c>
      <c r="B140" t="s">
        <v>38</v>
      </c>
      <c r="C140" t="s">
        <v>34</v>
      </c>
      <c r="D140" t="s">
        <v>35</v>
      </c>
      <c r="E140" t="s">
        <v>36</v>
      </c>
      <c r="F140">
        <f t="shared" ca="1" si="2"/>
        <v>0.39634565241763331</v>
      </c>
      <c r="G140">
        <v>360</v>
      </c>
      <c r="H140">
        <v>2</v>
      </c>
      <c r="I140">
        <v>1</v>
      </c>
      <c r="J140">
        <v>20</v>
      </c>
      <c r="K140">
        <v>2</v>
      </c>
      <c r="L140">
        <v>31</v>
      </c>
    </row>
    <row r="141" spans="1:12" x14ac:dyDescent="0.4">
      <c r="A141" t="s">
        <v>185</v>
      </c>
      <c r="B141" t="s">
        <v>33</v>
      </c>
      <c r="C141" t="s">
        <v>52</v>
      </c>
      <c r="D141" t="s">
        <v>50</v>
      </c>
      <c r="E141" t="s">
        <v>36</v>
      </c>
      <c r="F141">
        <f t="shared" ca="1" si="2"/>
        <v>0.96294979771677147</v>
      </c>
      <c r="G141">
        <v>200</v>
      </c>
      <c r="H141">
        <v>3</v>
      </c>
      <c r="I141">
        <v>2</v>
      </c>
      <c r="J141">
        <v>50</v>
      </c>
      <c r="K141">
        <v>3</v>
      </c>
      <c r="L141">
        <v>39</v>
      </c>
    </row>
    <row r="142" spans="1:12" x14ac:dyDescent="0.4">
      <c r="A142" t="s">
        <v>186</v>
      </c>
      <c r="B142" t="s">
        <v>33</v>
      </c>
      <c r="C142" t="s">
        <v>34</v>
      </c>
      <c r="D142" t="s">
        <v>41</v>
      </c>
      <c r="E142" t="s">
        <v>42</v>
      </c>
      <c r="F142">
        <f t="shared" ca="1" si="2"/>
        <v>0.78511881161342323</v>
      </c>
      <c r="G142">
        <v>75</v>
      </c>
      <c r="H142">
        <v>6</v>
      </c>
      <c r="I142">
        <v>0.5</v>
      </c>
      <c r="J142">
        <v>100</v>
      </c>
      <c r="K142">
        <v>2</v>
      </c>
      <c r="L142">
        <v>62</v>
      </c>
    </row>
    <row r="143" spans="1:12" x14ac:dyDescent="0.4">
      <c r="A143" t="s">
        <v>187</v>
      </c>
      <c r="B143" t="s">
        <v>38</v>
      </c>
      <c r="C143" t="s">
        <v>52</v>
      </c>
      <c r="D143" t="s">
        <v>39</v>
      </c>
      <c r="E143" t="s">
        <v>36</v>
      </c>
      <c r="F143">
        <f t="shared" ca="1" si="2"/>
        <v>0.13747125166968999</v>
      </c>
      <c r="G143">
        <v>150</v>
      </c>
      <c r="H143">
        <v>7</v>
      </c>
      <c r="I143">
        <v>1</v>
      </c>
      <c r="J143">
        <v>25</v>
      </c>
      <c r="K143">
        <v>3</v>
      </c>
      <c r="L143">
        <v>48</v>
      </c>
    </row>
    <row r="144" spans="1:12" x14ac:dyDescent="0.4">
      <c r="A144" t="s">
        <v>188</v>
      </c>
      <c r="B144" t="s">
        <v>38</v>
      </c>
      <c r="C144" t="s">
        <v>34</v>
      </c>
      <c r="D144" t="s">
        <v>35</v>
      </c>
      <c r="E144" t="s">
        <v>36</v>
      </c>
      <c r="F144">
        <f t="shared" ca="1" si="2"/>
        <v>0.79636295696250614</v>
      </c>
      <c r="G144">
        <v>80</v>
      </c>
      <c r="H144">
        <v>3</v>
      </c>
      <c r="I144">
        <v>0.25</v>
      </c>
      <c r="J144">
        <v>40</v>
      </c>
      <c r="K144">
        <v>3</v>
      </c>
      <c r="L144">
        <v>64</v>
      </c>
    </row>
    <row r="145" spans="1:12" x14ac:dyDescent="0.4">
      <c r="A145" t="s">
        <v>189</v>
      </c>
      <c r="B145" t="s">
        <v>38</v>
      </c>
      <c r="C145" t="s">
        <v>34</v>
      </c>
      <c r="D145" t="s">
        <v>35</v>
      </c>
      <c r="E145" t="s">
        <v>36</v>
      </c>
      <c r="F145">
        <f t="shared" ca="1" si="2"/>
        <v>0.15887653310577821</v>
      </c>
      <c r="G145">
        <v>270</v>
      </c>
      <c r="H145">
        <v>2</v>
      </c>
      <c r="I145">
        <v>0.25</v>
      </c>
      <c r="J145">
        <v>100</v>
      </c>
      <c r="K145">
        <v>3</v>
      </c>
      <c r="L145">
        <v>45</v>
      </c>
    </row>
    <row r="146" spans="1:12" x14ac:dyDescent="0.4">
      <c r="A146" t="s">
        <v>190</v>
      </c>
      <c r="B146" t="s">
        <v>33</v>
      </c>
      <c r="C146" t="s">
        <v>34</v>
      </c>
      <c r="D146" t="s">
        <v>41</v>
      </c>
      <c r="E146" t="s">
        <v>36</v>
      </c>
      <c r="F146">
        <f t="shared" ca="1" si="2"/>
        <v>0.71649268382913911</v>
      </c>
      <c r="G146">
        <v>450</v>
      </c>
      <c r="H146">
        <v>6</v>
      </c>
      <c r="I146">
        <v>0.5</v>
      </c>
      <c r="J146">
        <v>200</v>
      </c>
      <c r="K146">
        <v>5</v>
      </c>
      <c r="L146">
        <v>29</v>
      </c>
    </row>
    <row r="147" spans="1:12" x14ac:dyDescent="0.4">
      <c r="A147" t="s">
        <v>191</v>
      </c>
      <c r="B147" t="s">
        <v>38</v>
      </c>
      <c r="C147" t="s">
        <v>52</v>
      </c>
      <c r="D147" t="s">
        <v>39</v>
      </c>
      <c r="E147" t="s">
        <v>36</v>
      </c>
      <c r="F147">
        <f t="shared" ca="1" si="2"/>
        <v>0.99309080196637345</v>
      </c>
      <c r="G147">
        <v>180</v>
      </c>
      <c r="H147">
        <v>5</v>
      </c>
      <c r="I147">
        <v>1</v>
      </c>
      <c r="J147">
        <v>50</v>
      </c>
      <c r="K147">
        <v>2</v>
      </c>
      <c r="L147">
        <v>53</v>
      </c>
    </row>
    <row r="148" spans="1:12" x14ac:dyDescent="0.4">
      <c r="A148" t="s">
        <v>192</v>
      </c>
      <c r="B148" t="s">
        <v>38</v>
      </c>
      <c r="C148" t="s">
        <v>34</v>
      </c>
      <c r="D148" t="s">
        <v>41</v>
      </c>
      <c r="E148" t="s">
        <v>36</v>
      </c>
      <c r="F148">
        <f t="shared" ca="1" si="2"/>
        <v>0.78079671935570594</v>
      </c>
      <c r="G148">
        <v>540</v>
      </c>
      <c r="H148">
        <v>4</v>
      </c>
      <c r="I148">
        <v>0.5</v>
      </c>
      <c r="J148">
        <v>25</v>
      </c>
      <c r="K148">
        <v>3</v>
      </c>
      <c r="L148">
        <v>32</v>
      </c>
    </row>
    <row r="149" spans="1:12" x14ac:dyDescent="0.4">
      <c r="A149" t="s">
        <v>193</v>
      </c>
      <c r="B149" t="s">
        <v>38</v>
      </c>
      <c r="C149" t="s">
        <v>34</v>
      </c>
      <c r="D149" t="s">
        <v>35</v>
      </c>
      <c r="E149" t="s">
        <v>36</v>
      </c>
      <c r="F149">
        <f t="shared" ca="1" si="2"/>
        <v>0.42214213150546953</v>
      </c>
      <c r="G149">
        <v>180</v>
      </c>
      <c r="H149">
        <v>4</v>
      </c>
      <c r="I149">
        <v>0.5</v>
      </c>
      <c r="J149">
        <v>40</v>
      </c>
      <c r="K149">
        <v>2</v>
      </c>
      <c r="L149">
        <v>46</v>
      </c>
    </row>
    <row r="150" spans="1:12" x14ac:dyDescent="0.4">
      <c r="A150" t="s">
        <v>194</v>
      </c>
      <c r="B150" t="s">
        <v>38</v>
      </c>
      <c r="C150" t="s">
        <v>34</v>
      </c>
      <c r="D150" t="s">
        <v>39</v>
      </c>
      <c r="E150" t="s">
        <v>42</v>
      </c>
      <c r="F150">
        <f t="shared" ca="1" si="2"/>
        <v>0.29797906091463133</v>
      </c>
      <c r="G150">
        <v>360</v>
      </c>
      <c r="H150">
        <v>4</v>
      </c>
      <c r="I150">
        <v>0.5</v>
      </c>
      <c r="J150">
        <v>20</v>
      </c>
      <c r="K150">
        <v>4</v>
      </c>
      <c r="L150">
        <v>32</v>
      </c>
    </row>
    <row r="151" spans="1:12" x14ac:dyDescent="0.4">
      <c r="A151" t="s">
        <v>195</v>
      </c>
      <c r="B151" t="s">
        <v>38</v>
      </c>
      <c r="C151" t="s">
        <v>34</v>
      </c>
      <c r="D151" t="s">
        <v>35</v>
      </c>
      <c r="E151" t="s">
        <v>36</v>
      </c>
      <c r="F151">
        <f t="shared" ca="1" si="2"/>
        <v>0.79309823796790124</v>
      </c>
      <c r="G151">
        <v>180</v>
      </c>
      <c r="H151">
        <v>2</v>
      </c>
      <c r="I151">
        <v>1</v>
      </c>
      <c r="J151">
        <v>50</v>
      </c>
      <c r="K151">
        <v>3</v>
      </c>
      <c r="L151">
        <v>52</v>
      </c>
    </row>
    <row r="152" spans="1:12" x14ac:dyDescent="0.4">
      <c r="A152" t="s">
        <v>196</v>
      </c>
      <c r="B152" t="s">
        <v>38</v>
      </c>
      <c r="C152" t="s">
        <v>52</v>
      </c>
      <c r="D152" t="s">
        <v>35</v>
      </c>
      <c r="E152" t="s">
        <v>36</v>
      </c>
      <c r="F152">
        <f t="shared" ca="1" si="2"/>
        <v>0.93609146825991263</v>
      </c>
      <c r="G152">
        <v>200</v>
      </c>
      <c r="H152">
        <v>3</v>
      </c>
      <c r="I152">
        <v>0.5</v>
      </c>
      <c r="J152">
        <v>100</v>
      </c>
      <c r="K152">
        <v>3</v>
      </c>
      <c r="L152">
        <v>39</v>
      </c>
    </row>
    <row r="153" spans="1:12" x14ac:dyDescent="0.4">
      <c r="A153" t="s">
        <v>197</v>
      </c>
      <c r="B153" t="s">
        <v>38</v>
      </c>
      <c r="C153" t="s">
        <v>52</v>
      </c>
      <c r="D153" t="s">
        <v>39</v>
      </c>
      <c r="E153" t="s">
        <v>36</v>
      </c>
      <c r="F153">
        <f t="shared" ca="1" si="2"/>
        <v>0.67274322953552113</v>
      </c>
      <c r="G153">
        <v>360</v>
      </c>
      <c r="H153">
        <v>6</v>
      </c>
      <c r="I153">
        <v>0.25</v>
      </c>
      <c r="J153">
        <v>50</v>
      </c>
      <c r="K153">
        <v>3</v>
      </c>
      <c r="L153">
        <v>18</v>
      </c>
    </row>
    <row r="154" spans="1:12" x14ac:dyDescent="0.4">
      <c r="A154" t="s">
        <v>198</v>
      </c>
      <c r="B154" t="s">
        <v>38</v>
      </c>
      <c r="C154" t="s">
        <v>34</v>
      </c>
      <c r="D154" t="s">
        <v>41</v>
      </c>
      <c r="E154" t="s">
        <v>36</v>
      </c>
      <c r="F154">
        <f t="shared" ca="1" si="2"/>
        <v>0.7204598431191932</v>
      </c>
      <c r="G154">
        <v>450</v>
      </c>
      <c r="H154">
        <v>5</v>
      </c>
      <c r="I154">
        <v>0.75</v>
      </c>
      <c r="J154">
        <v>25</v>
      </c>
      <c r="K154">
        <v>3</v>
      </c>
      <c r="L154">
        <v>33</v>
      </c>
    </row>
    <row r="155" spans="1:12" x14ac:dyDescent="0.4">
      <c r="A155" t="s">
        <v>199</v>
      </c>
      <c r="B155" t="s">
        <v>33</v>
      </c>
      <c r="C155" t="s">
        <v>45</v>
      </c>
      <c r="D155" t="s">
        <v>41</v>
      </c>
      <c r="E155" t="s">
        <v>36</v>
      </c>
      <c r="F155">
        <f t="shared" ca="1" si="2"/>
        <v>0.26643542273900478</v>
      </c>
      <c r="G155">
        <v>150</v>
      </c>
      <c r="H155">
        <v>5</v>
      </c>
      <c r="I155">
        <v>1</v>
      </c>
      <c r="J155">
        <v>40</v>
      </c>
      <c r="K155">
        <v>3</v>
      </c>
      <c r="L155">
        <v>47</v>
      </c>
    </row>
    <row r="156" spans="1:12" x14ac:dyDescent="0.4">
      <c r="A156" t="s">
        <v>200</v>
      </c>
      <c r="B156" t="s">
        <v>38</v>
      </c>
      <c r="C156" t="s">
        <v>52</v>
      </c>
      <c r="D156" t="s">
        <v>41</v>
      </c>
      <c r="E156" t="s">
        <v>42</v>
      </c>
      <c r="F156">
        <f t="shared" ca="1" si="2"/>
        <v>0.53327865667159802</v>
      </c>
      <c r="G156">
        <v>330</v>
      </c>
      <c r="H156">
        <v>4</v>
      </c>
      <c r="I156">
        <v>1.5</v>
      </c>
      <c r="J156">
        <v>100</v>
      </c>
      <c r="K156">
        <v>2</v>
      </c>
      <c r="L156">
        <v>44</v>
      </c>
    </row>
    <row r="157" spans="1:12" x14ac:dyDescent="0.4">
      <c r="A157" t="s">
        <v>201</v>
      </c>
      <c r="B157" t="s">
        <v>33</v>
      </c>
      <c r="C157" t="s">
        <v>34</v>
      </c>
      <c r="D157" t="s">
        <v>39</v>
      </c>
      <c r="E157" t="s">
        <v>36</v>
      </c>
      <c r="F157">
        <f t="shared" ca="1" si="2"/>
        <v>7.5505292114105393E-2</v>
      </c>
      <c r="G157">
        <v>540</v>
      </c>
      <c r="H157">
        <v>6</v>
      </c>
      <c r="I157">
        <v>0.5</v>
      </c>
      <c r="J157">
        <v>100</v>
      </c>
      <c r="K157">
        <v>3</v>
      </c>
      <c r="L157">
        <v>33</v>
      </c>
    </row>
    <row r="158" spans="1:12" x14ac:dyDescent="0.4">
      <c r="A158" t="s">
        <v>202</v>
      </c>
      <c r="B158" t="s">
        <v>33</v>
      </c>
      <c r="C158" t="s">
        <v>52</v>
      </c>
      <c r="D158" t="s">
        <v>35</v>
      </c>
      <c r="E158" t="s">
        <v>42</v>
      </c>
      <c r="F158">
        <f t="shared" ca="1" si="2"/>
        <v>0.59973915921850496</v>
      </c>
      <c r="G158">
        <v>500</v>
      </c>
      <c r="H158">
        <v>4</v>
      </c>
      <c r="I158">
        <v>0.25</v>
      </c>
      <c r="J158">
        <v>20</v>
      </c>
      <c r="K158">
        <v>2</v>
      </c>
      <c r="L158">
        <v>35</v>
      </c>
    </row>
    <row r="159" spans="1:12" x14ac:dyDescent="0.4">
      <c r="A159" t="s">
        <v>203</v>
      </c>
      <c r="B159" t="s">
        <v>38</v>
      </c>
      <c r="C159" t="s">
        <v>34</v>
      </c>
      <c r="D159" t="s">
        <v>35</v>
      </c>
      <c r="E159" t="s">
        <v>36</v>
      </c>
      <c r="F159">
        <f t="shared" ca="1" si="2"/>
        <v>0.60187258515396447</v>
      </c>
      <c r="G159">
        <v>270</v>
      </c>
      <c r="H159">
        <v>5</v>
      </c>
      <c r="I159">
        <v>1.5</v>
      </c>
      <c r="J159">
        <v>50</v>
      </c>
      <c r="K159">
        <v>2</v>
      </c>
      <c r="L159">
        <v>43</v>
      </c>
    </row>
    <row r="160" spans="1:12" x14ac:dyDescent="0.4">
      <c r="A160" t="s">
        <v>204</v>
      </c>
      <c r="B160" t="s">
        <v>38</v>
      </c>
      <c r="C160" t="s">
        <v>34</v>
      </c>
      <c r="D160" t="s">
        <v>35</v>
      </c>
      <c r="E160" t="s">
        <v>42</v>
      </c>
      <c r="F160">
        <f t="shared" ca="1" si="2"/>
        <v>0.16657335482420821</v>
      </c>
      <c r="G160">
        <v>450</v>
      </c>
      <c r="H160">
        <v>6</v>
      </c>
      <c r="I160">
        <v>1</v>
      </c>
      <c r="J160">
        <v>50</v>
      </c>
      <c r="K160">
        <v>2</v>
      </c>
      <c r="L160">
        <v>34</v>
      </c>
    </row>
    <row r="161" spans="1:12" x14ac:dyDescent="0.4">
      <c r="A161" t="s">
        <v>205</v>
      </c>
      <c r="B161" t="s">
        <v>38</v>
      </c>
      <c r="C161" t="s">
        <v>34</v>
      </c>
      <c r="D161" t="s">
        <v>41</v>
      </c>
      <c r="E161" t="s">
        <v>42</v>
      </c>
      <c r="F161">
        <f t="shared" ca="1" si="2"/>
        <v>0.51399304590332118</v>
      </c>
      <c r="G161">
        <v>150</v>
      </c>
      <c r="H161">
        <v>6</v>
      </c>
      <c r="I161">
        <v>0.5</v>
      </c>
      <c r="J161">
        <v>75</v>
      </c>
      <c r="K161">
        <v>2</v>
      </c>
      <c r="L161">
        <v>49</v>
      </c>
    </row>
    <row r="162" spans="1:12" x14ac:dyDescent="0.4">
      <c r="A162" t="s">
        <v>206</v>
      </c>
      <c r="B162" t="s">
        <v>38</v>
      </c>
      <c r="C162" t="s">
        <v>52</v>
      </c>
      <c r="D162" t="s">
        <v>35</v>
      </c>
      <c r="E162" t="s">
        <v>42</v>
      </c>
      <c r="F162">
        <f t="shared" ca="1" si="2"/>
        <v>0.66590856398676757</v>
      </c>
      <c r="G162">
        <v>180</v>
      </c>
      <c r="H162">
        <v>6</v>
      </c>
      <c r="I162">
        <v>0.5</v>
      </c>
      <c r="J162">
        <v>20</v>
      </c>
      <c r="K162">
        <v>2</v>
      </c>
      <c r="L162">
        <v>44</v>
      </c>
    </row>
    <row r="163" spans="1:12" x14ac:dyDescent="0.4">
      <c r="A163" t="s">
        <v>207</v>
      </c>
      <c r="B163" t="s">
        <v>38</v>
      </c>
      <c r="C163" t="s">
        <v>34</v>
      </c>
      <c r="D163" t="s">
        <v>35</v>
      </c>
      <c r="E163" t="s">
        <v>36</v>
      </c>
      <c r="F163">
        <f t="shared" ca="1" si="2"/>
        <v>0.478168569231473</v>
      </c>
      <c r="G163">
        <v>400</v>
      </c>
      <c r="H163">
        <v>5</v>
      </c>
      <c r="I163">
        <v>1</v>
      </c>
      <c r="J163">
        <v>50</v>
      </c>
      <c r="K163">
        <v>3</v>
      </c>
      <c r="L163">
        <v>35</v>
      </c>
    </row>
    <row r="164" spans="1:12" x14ac:dyDescent="0.4">
      <c r="A164" t="s">
        <v>208</v>
      </c>
      <c r="B164" t="s">
        <v>38</v>
      </c>
      <c r="C164" t="s">
        <v>52</v>
      </c>
      <c r="D164" t="s">
        <v>39</v>
      </c>
      <c r="E164" t="s">
        <v>42</v>
      </c>
      <c r="F164">
        <f t="shared" ca="1" si="2"/>
        <v>0.78751295827171508</v>
      </c>
      <c r="G164">
        <v>90</v>
      </c>
      <c r="H164">
        <v>5</v>
      </c>
      <c r="I164">
        <v>1</v>
      </c>
      <c r="J164">
        <v>50</v>
      </c>
      <c r="K164">
        <v>3</v>
      </c>
      <c r="L164">
        <v>50</v>
      </c>
    </row>
    <row r="165" spans="1:12" x14ac:dyDescent="0.4">
      <c r="A165" t="s">
        <v>209</v>
      </c>
      <c r="B165" t="s">
        <v>38</v>
      </c>
      <c r="C165" t="s">
        <v>34</v>
      </c>
      <c r="D165" t="s">
        <v>35</v>
      </c>
      <c r="E165" t="s">
        <v>42</v>
      </c>
      <c r="F165">
        <f t="shared" ca="1" si="2"/>
        <v>0.44544625539757565</v>
      </c>
      <c r="G165">
        <v>360</v>
      </c>
      <c r="H165">
        <v>6</v>
      </c>
      <c r="I165">
        <v>1</v>
      </c>
      <c r="J165">
        <v>50</v>
      </c>
      <c r="K165">
        <v>3</v>
      </c>
      <c r="L165">
        <v>19</v>
      </c>
    </row>
    <row r="166" spans="1:12" x14ac:dyDescent="0.4">
      <c r="A166" t="s">
        <v>210</v>
      </c>
      <c r="B166" t="s">
        <v>33</v>
      </c>
      <c r="C166" t="s">
        <v>34</v>
      </c>
      <c r="D166" t="s">
        <v>39</v>
      </c>
      <c r="E166" t="s">
        <v>42</v>
      </c>
      <c r="F166">
        <f t="shared" ca="1" si="2"/>
        <v>0.12846553506476821</v>
      </c>
      <c r="G166">
        <v>180</v>
      </c>
      <c r="H166">
        <v>1</v>
      </c>
      <c r="I166">
        <v>0.5</v>
      </c>
      <c r="J166">
        <v>200</v>
      </c>
      <c r="K166">
        <v>2</v>
      </c>
      <c r="L166">
        <v>55</v>
      </c>
    </row>
    <row r="167" spans="1:12" x14ac:dyDescent="0.4">
      <c r="A167" t="s">
        <v>211</v>
      </c>
      <c r="B167" t="s">
        <v>33</v>
      </c>
      <c r="C167" t="s">
        <v>34</v>
      </c>
      <c r="D167" t="s">
        <v>39</v>
      </c>
      <c r="E167" t="s">
        <v>36</v>
      </c>
      <c r="F167">
        <f t="shared" ca="1" si="2"/>
        <v>0.52689432394388747</v>
      </c>
      <c r="G167">
        <v>540</v>
      </c>
      <c r="H167">
        <v>4</v>
      </c>
      <c r="I167">
        <v>2</v>
      </c>
      <c r="J167">
        <v>60</v>
      </c>
      <c r="K167">
        <v>2</v>
      </c>
      <c r="L167">
        <v>29</v>
      </c>
    </row>
    <row r="168" spans="1:12" x14ac:dyDescent="0.4">
      <c r="A168" t="s">
        <v>212</v>
      </c>
      <c r="B168" t="s">
        <v>33</v>
      </c>
      <c r="C168" t="s">
        <v>52</v>
      </c>
      <c r="D168" t="s">
        <v>35</v>
      </c>
      <c r="E168" t="s">
        <v>36</v>
      </c>
      <c r="F168">
        <f t="shared" ca="1" si="2"/>
        <v>0.31183138780999942</v>
      </c>
      <c r="G168">
        <v>450</v>
      </c>
      <c r="H168">
        <v>4</v>
      </c>
      <c r="I168">
        <v>2</v>
      </c>
      <c r="J168">
        <v>100</v>
      </c>
      <c r="K168">
        <v>5</v>
      </c>
      <c r="L168">
        <v>34</v>
      </c>
    </row>
    <row r="169" spans="1:12" x14ac:dyDescent="0.4">
      <c r="A169" t="s">
        <v>213</v>
      </c>
      <c r="B169" t="s">
        <v>38</v>
      </c>
      <c r="C169" t="s">
        <v>34</v>
      </c>
      <c r="D169" t="s">
        <v>35</v>
      </c>
      <c r="E169" t="s">
        <v>36</v>
      </c>
      <c r="F169">
        <f t="shared" ca="1" si="2"/>
        <v>0.71332690309546887</v>
      </c>
      <c r="G169">
        <v>270</v>
      </c>
      <c r="H169">
        <v>7</v>
      </c>
      <c r="I169">
        <v>0.25</v>
      </c>
      <c r="J169">
        <v>45</v>
      </c>
      <c r="K169">
        <v>4</v>
      </c>
      <c r="L169">
        <v>45</v>
      </c>
    </row>
    <row r="170" spans="1:12" x14ac:dyDescent="0.4">
      <c r="A170" t="s">
        <v>214</v>
      </c>
      <c r="B170" t="s">
        <v>33</v>
      </c>
      <c r="C170" t="s">
        <v>34</v>
      </c>
      <c r="D170" t="s">
        <v>39</v>
      </c>
      <c r="E170" t="s">
        <v>36</v>
      </c>
      <c r="F170">
        <f t="shared" ca="1" si="2"/>
        <v>0.64555084877235991</v>
      </c>
      <c r="G170">
        <v>50</v>
      </c>
      <c r="H170">
        <v>2</v>
      </c>
      <c r="I170">
        <v>0.5</v>
      </c>
      <c r="J170">
        <v>20</v>
      </c>
      <c r="K170">
        <v>2</v>
      </c>
      <c r="L170">
        <v>62</v>
      </c>
    </row>
    <row r="171" spans="1:12" x14ac:dyDescent="0.4">
      <c r="A171" t="s">
        <v>215</v>
      </c>
      <c r="B171" t="s">
        <v>33</v>
      </c>
      <c r="C171" t="s">
        <v>34</v>
      </c>
      <c r="D171" t="s">
        <v>39</v>
      </c>
      <c r="E171" t="s">
        <v>36</v>
      </c>
      <c r="F171">
        <f t="shared" ca="1" si="2"/>
        <v>0.22401129569800171</v>
      </c>
      <c r="G171">
        <v>50</v>
      </c>
      <c r="H171">
        <v>3</v>
      </c>
      <c r="I171">
        <v>0.3</v>
      </c>
      <c r="J171">
        <v>50</v>
      </c>
      <c r="K171">
        <v>3</v>
      </c>
      <c r="L171">
        <v>59</v>
      </c>
    </row>
    <row r="172" spans="1:12" x14ac:dyDescent="0.4">
      <c r="A172" t="s">
        <v>216</v>
      </c>
      <c r="B172" t="s">
        <v>38</v>
      </c>
      <c r="C172" t="s">
        <v>34</v>
      </c>
      <c r="D172" t="s">
        <v>41</v>
      </c>
      <c r="E172" t="s">
        <v>36</v>
      </c>
      <c r="F172">
        <f t="shared" ca="1" si="2"/>
        <v>6.1206197088577441E-2</v>
      </c>
      <c r="G172">
        <v>180</v>
      </c>
      <c r="H172">
        <v>4</v>
      </c>
      <c r="I172">
        <v>1.5</v>
      </c>
      <c r="J172">
        <v>150</v>
      </c>
      <c r="K172">
        <v>2</v>
      </c>
      <c r="L172">
        <v>48</v>
      </c>
    </row>
    <row r="173" spans="1:12" x14ac:dyDescent="0.4">
      <c r="A173" t="s">
        <v>217</v>
      </c>
      <c r="B173" t="s">
        <v>33</v>
      </c>
      <c r="C173" t="s">
        <v>100</v>
      </c>
      <c r="D173" t="s">
        <v>35</v>
      </c>
      <c r="E173" t="s">
        <v>36</v>
      </c>
      <c r="F173">
        <f t="shared" ca="1" si="2"/>
        <v>0.67322937370739133</v>
      </c>
      <c r="G173">
        <v>50</v>
      </c>
      <c r="H173">
        <v>1</v>
      </c>
      <c r="I173">
        <v>0.5</v>
      </c>
      <c r="J173">
        <v>20</v>
      </c>
      <c r="K173">
        <v>4</v>
      </c>
      <c r="L173">
        <v>57</v>
      </c>
    </row>
    <row r="174" spans="1:12" x14ac:dyDescent="0.4">
      <c r="A174" t="s">
        <v>218</v>
      </c>
      <c r="B174" t="s">
        <v>33</v>
      </c>
      <c r="C174" t="s">
        <v>100</v>
      </c>
      <c r="D174" t="s">
        <v>35</v>
      </c>
      <c r="E174" t="s">
        <v>36</v>
      </c>
      <c r="F174">
        <f t="shared" ca="1" si="2"/>
        <v>0.90108033937721055</v>
      </c>
      <c r="G174">
        <v>90</v>
      </c>
      <c r="H174">
        <v>1</v>
      </c>
      <c r="I174">
        <v>0.5</v>
      </c>
      <c r="J174">
        <v>90</v>
      </c>
      <c r="K174">
        <v>2</v>
      </c>
      <c r="L174">
        <v>57</v>
      </c>
    </row>
    <row r="175" spans="1:12" x14ac:dyDescent="0.4">
      <c r="A175" t="s">
        <v>219</v>
      </c>
      <c r="B175" t="s">
        <v>38</v>
      </c>
      <c r="C175" t="s">
        <v>52</v>
      </c>
      <c r="D175" t="s">
        <v>39</v>
      </c>
      <c r="E175" t="s">
        <v>42</v>
      </c>
      <c r="F175">
        <f t="shared" ca="1" si="2"/>
        <v>0.77174274281039601</v>
      </c>
      <c r="G175">
        <v>450</v>
      </c>
      <c r="H175">
        <v>4</v>
      </c>
      <c r="I175">
        <v>1.5</v>
      </c>
      <c r="J175">
        <v>50</v>
      </c>
      <c r="K175">
        <v>3</v>
      </c>
      <c r="L175">
        <v>21</v>
      </c>
    </row>
    <row r="176" spans="1:12" x14ac:dyDescent="0.4">
      <c r="A176" t="s">
        <v>220</v>
      </c>
      <c r="B176" t="s">
        <v>38</v>
      </c>
      <c r="C176" t="s">
        <v>34</v>
      </c>
      <c r="D176" t="s">
        <v>39</v>
      </c>
      <c r="E176" t="s">
        <v>36</v>
      </c>
      <c r="F176">
        <f t="shared" ca="1" si="2"/>
        <v>0.49666873644159837</v>
      </c>
      <c r="G176">
        <v>450</v>
      </c>
      <c r="H176">
        <v>6</v>
      </c>
      <c r="I176">
        <v>0.5</v>
      </c>
      <c r="J176">
        <v>20</v>
      </c>
      <c r="K176">
        <v>2</v>
      </c>
      <c r="L176">
        <v>25</v>
      </c>
    </row>
    <row r="177" spans="1:12" x14ac:dyDescent="0.4">
      <c r="A177" t="s">
        <v>221</v>
      </c>
      <c r="B177" t="s">
        <v>38</v>
      </c>
      <c r="C177" t="s">
        <v>34</v>
      </c>
      <c r="D177" t="s">
        <v>39</v>
      </c>
      <c r="E177" t="s">
        <v>36</v>
      </c>
      <c r="F177">
        <f t="shared" ca="1" si="2"/>
        <v>0.70356176821497418</v>
      </c>
      <c r="G177">
        <v>100</v>
      </c>
      <c r="H177">
        <v>2</v>
      </c>
      <c r="I177">
        <v>0.5</v>
      </c>
      <c r="J177">
        <v>20</v>
      </c>
      <c r="K177">
        <v>3</v>
      </c>
      <c r="L177">
        <v>54</v>
      </c>
    </row>
    <row r="178" spans="1:12" x14ac:dyDescent="0.4">
      <c r="A178" t="s">
        <v>222</v>
      </c>
      <c r="B178" t="s">
        <v>38</v>
      </c>
      <c r="C178" t="s">
        <v>34</v>
      </c>
      <c r="D178" t="s">
        <v>41</v>
      </c>
      <c r="E178" t="s">
        <v>42</v>
      </c>
      <c r="F178">
        <f t="shared" ca="1" si="2"/>
        <v>2.5533172997811548E-2</v>
      </c>
      <c r="G178">
        <v>180</v>
      </c>
      <c r="H178">
        <v>4</v>
      </c>
      <c r="I178">
        <v>0.5</v>
      </c>
      <c r="J178">
        <v>50</v>
      </c>
      <c r="K178">
        <v>3</v>
      </c>
      <c r="L178">
        <v>51</v>
      </c>
    </row>
    <row r="179" spans="1:12" x14ac:dyDescent="0.4">
      <c r="A179" t="s">
        <v>223</v>
      </c>
      <c r="B179" t="s">
        <v>33</v>
      </c>
      <c r="C179" t="s">
        <v>45</v>
      </c>
      <c r="D179" t="s">
        <v>35</v>
      </c>
      <c r="E179" t="s">
        <v>42</v>
      </c>
      <c r="F179">
        <f t="shared" ca="1" si="2"/>
        <v>0.22199722470236283</v>
      </c>
      <c r="G179">
        <v>200</v>
      </c>
      <c r="H179">
        <v>7</v>
      </c>
      <c r="I179">
        <v>1.5</v>
      </c>
      <c r="J179">
        <v>300</v>
      </c>
      <c r="K179">
        <v>3</v>
      </c>
      <c r="L179">
        <v>40</v>
      </c>
    </row>
    <row r="180" spans="1:12" x14ac:dyDescent="0.4">
      <c r="A180" t="s">
        <v>224</v>
      </c>
      <c r="B180" t="s">
        <v>38</v>
      </c>
      <c r="C180" t="s">
        <v>34</v>
      </c>
      <c r="D180" t="s">
        <v>35</v>
      </c>
      <c r="E180" t="s">
        <v>36</v>
      </c>
      <c r="F180">
        <f t="shared" ca="1" si="2"/>
        <v>0.29562069072429831</v>
      </c>
      <c r="G180">
        <v>180</v>
      </c>
      <c r="H180">
        <v>5</v>
      </c>
      <c r="I180">
        <v>1</v>
      </c>
      <c r="J180">
        <v>20</v>
      </c>
      <c r="K180">
        <v>2</v>
      </c>
      <c r="L180">
        <v>36</v>
      </c>
    </row>
    <row r="181" spans="1:12" x14ac:dyDescent="0.4">
      <c r="A181" t="s">
        <v>225</v>
      </c>
      <c r="B181" t="s">
        <v>38</v>
      </c>
      <c r="C181" t="s">
        <v>52</v>
      </c>
      <c r="D181" t="s">
        <v>35</v>
      </c>
      <c r="E181" t="s">
        <v>36</v>
      </c>
      <c r="F181">
        <f t="shared" ca="1" si="2"/>
        <v>0.7088321113150714</v>
      </c>
      <c r="G181">
        <v>110</v>
      </c>
      <c r="H181">
        <v>6</v>
      </c>
      <c r="I181">
        <v>1</v>
      </c>
      <c r="J181">
        <v>50</v>
      </c>
      <c r="K181">
        <v>2</v>
      </c>
      <c r="L181">
        <v>54</v>
      </c>
    </row>
    <row r="182" spans="1:12" x14ac:dyDescent="0.4">
      <c r="A182" t="s">
        <v>226</v>
      </c>
      <c r="B182" t="s">
        <v>38</v>
      </c>
      <c r="C182" t="s">
        <v>34</v>
      </c>
      <c r="D182" t="s">
        <v>98</v>
      </c>
      <c r="E182" t="s">
        <v>36</v>
      </c>
      <c r="F182">
        <f t="shared" ca="1" si="2"/>
        <v>0.35640861588739969</v>
      </c>
      <c r="G182">
        <v>200</v>
      </c>
      <c r="H182">
        <v>2</v>
      </c>
      <c r="I182">
        <v>0.5</v>
      </c>
      <c r="J182">
        <v>25</v>
      </c>
      <c r="K182">
        <v>5</v>
      </c>
      <c r="L182">
        <v>36</v>
      </c>
    </row>
    <row r="183" spans="1:12" x14ac:dyDescent="0.4">
      <c r="A183" t="s">
        <v>227</v>
      </c>
      <c r="B183" t="s">
        <v>33</v>
      </c>
      <c r="C183" t="s">
        <v>45</v>
      </c>
      <c r="D183" t="s">
        <v>41</v>
      </c>
      <c r="E183" t="s">
        <v>36</v>
      </c>
      <c r="F183">
        <f t="shared" ca="1" si="2"/>
        <v>0.12491555268979759</v>
      </c>
      <c r="G183">
        <v>180</v>
      </c>
      <c r="H183">
        <v>5</v>
      </c>
      <c r="I183">
        <v>1</v>
      </c>
      <c r="J183">
        <v>30</v>
      </c>
      <c r="K183">
        <v>4</v>
      </c>
      <c r="L183">
        <v>54</v>
      </c>
    </row>
    <row r="184" spans="1:12" x14ac:dyDescent="0.4">
      <c r="A184" t="s">
        <v>228</v>
      </c>
      <c r="B184" t="s">
        <v>38</v>
      </c>
      <c r="C184" t="s">
        <v>34</v>
      </c>
      <c r="D184" t="s">
        <v>35</v>
      </c>
      <c r="E184" t="s">
        <v>36</v>
      </c>
      <c r="F184">
        <f t="shared" ca="1" si="2"/>
        <v>0.27273199815326143</v>
      </c>
      <c r="G184">
        <v>250</v>
      </c>
      <c r="H184">
        <v>4</v>
      </c>
      <c r="I184">
        <v>1</v>
      </c>
      <c r="J184">
        <v>100</v>
      </c>
      <c r="K184">
        <v>2</v>
      </c>
      <c r="L184">
        <v>38</v>
      </c>
    </row>
    <row r="185" spans="1:12" x14ac:dyDescent="0.4">
      <c r="A185" t="s">
        <v>229</v>
      </c>
      <c r="B185" t="s">
        <v>38</v>
      </c>
      <c r="C185" t="s">
        <v>45</v>
      </c>
      <c r="D185" t="s">
        <v>35</v>
      </c>
      <c r="E185" t="s">
        <v>42</v>
      </c>
      <c r="F185">
        <f t="shared" ca="1" si="2"/>
        <v>0.97895913947520552</v>
      </c>
      <c r="G185">
        <v>150</v>
      </c>
      <c r="H185">
        <v>6</v>
      </c>
      <c r="I185">
        <v>0.5</v>
      </c>
      <c r="J185">
        <v>50</v>
      </c>
      <c r="K185">
        <v>3</v>
      </c>
      <c r="L185">
        <v>49</v>
      </c>
    </row>
    <row r="186" spans="1:12" x14ac:dyDescent="0.4">
      <c r="A186" t="s">
        <v>230</v>
      </c>
      <c r="B186" t="s">
        <v>38</v>
      </c>
      <c r="C186" t="s">
        <v>34</v>
      </c>
      <c r="D186" t="s">
        <v>98</v>
      </c>
      <c r="E186" t="s">
        <v>42</v>
      </c>
      <c r="F186">
        <f t="shared" ca="1" si="2"/>
        <v>0.44969468030787774</v>
      </c>
      <c r="G186">
        <v>330</v>
      </c>
      <c r="H186">
        <v>3</v>
      </c>
      <c r="I186">
        <v>2</v>
      </c>
      <c r="J186">
        <v>50</v>
      </c>
      <c r="K186">
        <v>4</v>
      </c>
      <c r="L186">
        <v>44</v>
      </c>
    </row>
    <row r="187" spans="1:12" x14ac:dyDescent="0.4">
      <c r="A187" t="s">
        <v>231</v>
      </c>
      <c r="B187" t="s">
        <v>38</v>
      </c>
      <c r="C187" t="s">
        <v>52</v>
      </c>
      <c r="D187" t="s">
        <v>35</v>
      </c>
      <c r="E187" t="s">
        <v>36</v>
      </c>
      <c r="F187">
        <f t="shared" ca="1" si="2"/>
        <v>0.44558621225498241</v>
      </c>
      <c r="G187">
        <v>100</v>
      </c>
      <c r="H187">
        <v>5</v>
      </c>
      <c r="I187">
        <v>0.5</v>
      </c>
      <c r="J187">
        <v>25</v>
      </c>
      <c r="K187">
        <v>3</v>
      </c>
      <c r="L187">
        <v>57</v>
      </c>
    </row>
    <row r="188" spans="1:12" x14ac:dyDescent="0.4">
      <c r="A188" t="s">
        <v>232</v>
      </c>
      <c r="B188" t="s">
        <v>38</v>
      </c>
      <c r="C188" t="s">
        <v>34</v>
      </c>
      <c r="D188" t="s">
        <v>39</v>
      </c>
      <c r="E188" t="s">
        <v>42</v>
      </c>
      <c r="F188">
        <f t="shared" ca="1" si="2"/>
        <v>0.20761499357785573</v>
      </c>
      <c r="G188">
        <v>80</v>
      </c>
      <c r="H188">
        <v>5</v>
      </c>
      <c r="I188">
        <v>0.5</v>
      </c>
      <c r="J188">
        <v>35</v>
      </c>
      <c r="K188">
        <v>2</v>
      </c>
      <c r="L188">
        <v>65</v>
      </c>
    </row>
    <row r="189" spans="1:12" x14ac:dyDescent="0.4">
      <c r="A189" t="s">
        <v>233</v>
      </c>
      <c r="B189" t="s">
        <v>33</v>
      </c>
      <c r="C189" t="s">
        <v>45</v>
      </c>
      <c r="D189" t="s">
        <v>35</v>
      </c>
      <c r="E189" t="s">
        <v>42</v>
      </c>
      <c r="F189">
        <f t="shared" ca="1" si="2"/>
        <v>0.44923737260041152</v>
      </c>
      <c r="G189">
        <v>300</v>
      </c>
      <c r="H189">
        <v>7</v>
      </c>
      <c r="I189">
        <v>2</v>
      </c>
      <c r="J189">
        <v>50</v>
      </c>
      <c r="K189">
        <v>2</v>
      </c>
      <c r="L189">
        <v>39</v>
      </c>
    </row>
    <row r="190" spans="1:12" x14ac:dyDescent="0.4">
      <c r="A190" t="s">
        <v>234</v>
      </c>
      <c r="B190" t="s">
        <v>38</v>
      </c>
      <c r="C190" t="s">
        <v>34</v>
      </c>
      <c r="D190" t="s">
        <v>35</v>
      </c>
      <c r="E190" t="s">
        <v>36</v>
      </c>
      <c r="F190">
        <f t="shared" ca="1" si="2"/>
        <v>0.14772334083045346</v>
      </c>
      <c r="G190">
        <v>50</v>
      </c>
      <c r="H190">
        <v>6</v>
      </c>
      <c r="I190">
        <v>0.5</v>
      </c>
      <c r="J190">
        <v>30</v>
      </c>
      <c r="K190">
        <v>2</v>
      </c>
      <c r="L190">
        <v>71</v>
      </c>
    </row>
    <row r="191" spans="1:12" x14ac:dyDescent="0.4">
      <c r="A191" t="s">
        <v>235</v>
      </c>
      <c r="B191" t="s">
        <v>38</v>
      </c>
      <c r="C191" t="s">
        <v>34</v>
      </c>
      <c r="D191" t="s">
        <v>41</v>
      </c>
      <c r="E191" t="s">
        <v>42</v>
      </c>
      <c r="F191">
        <f t="shared" ca="1" si="2"/>
        <v>0.62213642453625051</v>
      </c>
      <c r="G191">
        <v>180</v>
      </c>
      <c r="H191">
        <v>6</v>
      </c>
      <c r="I191">
        <v>1</v>
      </c>
      <c r="J191">
        <v>25</v>
      </c>
      <c r="K191">
        <v>2</v>
      </c>
      <c r="L191">
        <v>52</v>
      </c>
    </row>
    <row r="192" spans="1:12" x14ac:dyDescent="0.4">
      <c r="A192" t="s">
        <v>236</v>
      </c>
      <c r="B192" t="s">
        <v>38</v>
      </c>
      <c r="C192" t="s">
        <v>52</v>
      </c>
      <c r="D192" t="s">
        <v>35</v>
      </c>
      <c r="E192" t="s">
        <v>42</v>
      </c>
      <c r="F192">
        <f t="shared" ca="1" si="2"/>
        <v>0.19929750183990236</v>
      </c>
      <c r="G192">
        <v>150</v>
      </c>
      <c r="H192">
        <v>2</v>
      </c>
      <c r="I192">
        <v>0.25</v>
      </c>
      <c r="J192">
        <v>40</v>
      </c>
      <c r="K192">
        <v>2</v>
      </c>
      <c r="L192">
        <v>51</v>
      </c>
    </row>
    <row r="193" spans="1:12" x14ac:dyDescent="0.4">
      <c r="A193" t="s">
        <v>237</v>
      </c>
      <c r="B193" t="s">
        <v>38</v>
      </c>
      <c r="C193" t="s">
        <v>52</v>
      </c>
      <c r="D193" t="s">
        <v>41</v>
      </c>
      <c r="E193" t="s">
        <v>36</v>
      </c>
      <c r="F193">
        <f t="shared" ca="1" si="2"/>
        <v>0.26997463416634093</v>
      </c>
      <c r="G193">
        <v>500</v>
      </c>
      <c r="H193">
        <v>6</v>
      </c>
      <c r="I193">
        <v>1</v>
      </c>
      <c r="J193">
        <v>30</v>
      </c>
      <c r="K193">
        <v>3</v>
      </c>
      <c r="L193">
        <v>20</v>
      </c>
    </row>
    <row r="194" spans="1:12" x14ac:dyDescent="0.4">
      <c r="A194" t="s">
        <v>238</v>
      </c>
      <c r="B194" t="s">
        <v>38</v>
      </c>
      <c r="C194" t="s">
        <v>34</v>
      </c>
      <c r="D194" t="s">
        <v>35</v>
      </c>
      <c r="E194" t="s">
        <v>36</v>
      </c>
      <c r="F194">
        <f t="shared" ref="F194:F257" ca="1" si="3">RAND()</f>
        <v>2.609407911119388E-2</v>
      </c>
      <c r="G194">
        <v>90</v>
      </c>
      <c r="H194">
        <v>3</v>
      </c>
      <c r="I194">
        <v>0.5</v>
      </c>
      <c r="J194">
        <v>20</v>
      </c>
      <c r="K194">
        <v>3</v>
      </c>
      <c r="L194">
        <v>61</v>
      </c>
    </row>
    <row r="195" spans="1:12" x14ac:dyDescent="0.4">
      <c r="A195" t="s">
        <v>239</v>
      </c>
      <c r="B195" t="s">
        <v>38</v>
      </c>
      <c r="C195" t="s">
        <v>52</v>
      </c>
      <c r="D195" t="s">
        <v>39</v>
      </c>
      <c r="E195" t="s">
        <v>36</v>
      </c>
      <c r="F195">
        <f t="shared" ca="1" si="3"/>
        <v>0.90955091835892987</v>
      </c>
      <c r="G195">
        <v>100</v>
      </c>
      <c r="H195">
        <v>5</v>
      </c>
      <c r="I195">
        <v>0.3</v>
      </c>
      <c r="J195">
        <v>25</v>
      </c>
      <c r="K195">
        <v>3</v>
      </c>
      <c r="L195">
        <v>55</v>
      </c>
    </row>
    <row r="196" spans="1:12" x14ac:dyDescent="0.4">
      <c r="A196" t="s">
        <v>240</v>
      </c>
      <c r="B196" t="s">
        <v>33</v>
      </c>
      <c r="C196" t="s">
        <v>52</v>
      </c>
      <c r="D196" t="s">
        <v>41</v>
      </c>
      <c r="E196" t="s">
        <v>36</v>
      </c>
      <c r="F196">
        <f t="shared" ca="1" si="3"/>
        <v>0.40267176966496232</v>
      </c>
      <c r="G196">
        <v>360</v>
      </c>
      <c r="H196">
        <v>8</v>
      </c>
      <c r="I196">
        <v>0.5</v>
      </c>
      <c r="J196">
        <v>20</v>
      </c>
      <c r="K196">
        <v>3</v>
      </c>
      <c r="L196">
        <v>29</v>
      </c>
    </row>
    <row r="197" spans="1:12" x14ac:dyDescent="0.4">
      <c r="A197" t="s">
        <v>241</v>
      </c>
      <c r="B197" t="s">
        <v>38</v>
      </c>
      <c r="C197" t="s">
        <v>34</v>
      </c>
      <c r="D197" t="s">
        <v>35</v>
      </c>
      <c r="E197" t="s">
        <v>36</v>
      </c>
      <c r="F197">
        <f t="shared" ca="1" si="3"/>
        <v>5.0342502066342609E-2</v>
      </c>
      <c r="G197">
        <v>250</v>
      </c>
      <c r="H197">
        <v>4</v>
      </c>
      <c r="I197">
        <v>1</v>
      </c>
      <c r="J197">
        <v>50</v>
      </c>
      <c r="K197">
        <v>3</v>
      </c>
      <c r="L197">
        <v>41</v>
      </c>
    </row>
    <row r="198" spans="1:12" x14ac:dyDescent="0.4">
      <c r="A198" t="s">
        <v>242</v>
      </c>
      <c r="B198" t="s">
        <v>38</v>
      </c>
      <c r="C198" t="s">
        <v>52</v>
      </c>
      <c r="D198" t="s">
        <v>41</v>
      </c>
      <c r="E198" t="s">
        <v>42</v>
      </c>
      <c r="F198">
        <f t="shared" ca="1" si="3"/>
        <v>0.92272169293422424</v>
      </c>
      <c r="G198">
        <v>180</v>
      </c>
      <c r="H198">
        <v>7</v>
      </c>
      <c r="I198">
        <v>0.25</v>
      </c>
      <c r="J198">
        <v>100</v>
      </c>
      <c r="K198">
        <v>3</v>
      </c>
      <c r="L198">
        <v>51</v>
      </c>
    </row>
    <row r="199" spans="1:12" x14ac:dyDescent="0.4">
      <c r="A199" t="s">
        <v>243</v>
      </c>
      <c r="B199" t="s">
        <v>38</v>
      </c>
      <c r="C199" t="s">
        <v>52</v>
      </c>
      <c r="D199" t="s">
        <v>35</v>
      </c>
      <c r="E199" t="s">
        <v>36</v>
      </c>
      <c r="F199">
        <f t="shared" ca="1" si="3"/>
        <v>0.80385294862808676</v>
      </c>
      <c r="G199">
        <v>200</v>
      </c>
      <c r="H199">
        <v>6</v>
      </c>
      <c r="I199">
        <v>0.5</v>
      </c>
      <c r="J199">
        <v>80</v>
      </c>
      <c r="K199">
        <v>2</v>
      </c>
      <c r="L199">
        <v>38</v>
      </c>
    </row>
    <row r="200" spans="1:12" x14ac:dyDescent="0.4">
      <c r="A200" t="s">
        <v>244</v>
      </c>
      <c r="B200" t="s">
        <v>38</v>
      </c>
      <c r="C200" t="s">
        <v>52</v>
      </c>
      <c r="D200" t="s">
        <v>41</v>
      </c>
      <c r="E200" t="s">
        <v>36</v>
      </c>
      <c r="F200">
        <f t="shared" ca="1" si="3"/>
        <v>0.7233298527468407</v>
      </c>
      <c r="G200">
        <v>360</v>
      </c>
      <c r="H200">
        <v>6</v>
      </c>
      <c r="I200">
        <v>1</v>
      </c>
      <c r="J200">
        <v>90</v>
      </c>
      <c r="K200">
        <v>3</v>
      </c>
      <c r="L200">
        <v>44</v>
      </c>
    </row>
    <row r="201" spans="1:12" x14ac:dyDescent="0.4">
      <c r="A201" t="s">
        <v>245</v>
      </c>
      <c r="B201" t="s">
        <v>38</v>
      </c>
      <c r="C201" t="s">
        <v>77</v>
      </c>
      <c r="D201" t="s">
        <v>50</v>
      </c>
      <c r="E201" t="s">
        <v>36</v>
      </c>
      <c r="F201">
        <f t="shared" ca="1" si="3"/>
        <v>0.3137974975014951</v>
      </c>
      <c r="G201">
        <v>360</v>
      </c>
      <c r="H201">
        <v>6</v>
      </c>
      <c r="I201">
        <v>0.5</v>
      </c>
      <c r="J201">
        <v>20</v>
      </c>
      <c r="K201">
        <v>2</v>
      </c>
      <c r="L201">
        <v>26</v>
      </c>
    </row>
    <row r="202" spans="1:12" x14ac:dyDescent="0.4">
      <c r="A202" t="s">
        <v>246</v>
      </c>
      <c r="B202" t="s">
        <v>38</v>
      </c>
      <c r="C202" t="s">
        <v>34</v>
      </c>
      <c r="D202" t="s">
        <v>39</v>
      </c>
      <c r="E202" t="s">
        <v>42</v>
      </c>
      <c r="F202">
        <f t="shared" ca="1" si="3"/>
        <v>0.65513393254380747</v>
      </c>
      <c r="G202">
        <v>90</v>
      </c>
      <c r="H202">
        <v>1</v>
      </c>
      <c r="I202">
        <v>0.75</v>
      </c>
      <c r="J202">
        <v>50</v>
      </c>
      <c r="K202">
        <v>3</v>
      </c>
      <c r="L202">
        <v>65</v>
      </c>
    </row>
    <row r="203" spans="1:12" x14ac:dyDescent="0.4">
      <c r="A203" t="s">
        <v>247</v>
      </c>
      <c r="B203" t="s">
        <v>38</v>
      </c>
      <c r="C203" t="s">
        <v>34</v>
      </c>
      <c r="D203" t="s">
        <v>39</v>
      </c>
      <c r="E203" t="s">
        <v>36</v>
      </c>
      <c r="F203">
        <f t="shared" ca="1" si="3"/>
        <v>0.56601883462965574</v>
      </c>
      <c r="G203">
        <v>50</v>
      </c>
      <c r="H203">
        <v>5</v>
      </c>
      <c r="I203">
        <v>0.25</v>
      </c>
      <c r="J203">
        <v>25</v>
      </c>
      <c r="K203">
        <v>3</v>
      </c>
      <c r="L203">
        <v>78</v>
      </c>
    </row>
    <row r="204" spans="1:12" x14ac:dyDescent="0.4">
      <c r="A204" t="s">
        <v>248</v>
      </c>
      <c r="B204" t="s">
        <v>38</v>
      </c>
      <c r="C204" t="s">
        <v>52</v>
      </c>
      <c r="D204" t="s">
        <v>35</v>
      </c>
      <c r="E204" t="s">
        <v>36</v>
      </c>
      <c r="F204">
        <f t="shared" ca="1" si="3"/>
        <v>0.86198005151000912</v>
      </c>
      <c r="G204">
        <v>180</v>
      </c>
      <c r="H204">
        <v>5</v>
      </c>
      <c r="I204">
        <v>2</v>
      </c>
      <c r="J204">
        <v>100</v>
      </c>
      <c r="K204">
        <v>2</v>
      </c>
      <c r="L204">
        <v>46</v>
      </c>
    </row>
    <row r="205" spans="1:12" x14ac:dyDescent="0.4">
      <c r="A205" t="s">
        <v>249</v>
      </c>
      <c r="B205" t="s">
        <v>38</v>
      </c>
      <c r="C205" t="s">
        <v>52</v>
      </c>
      <c r="D205" t="s">
        <v>35</v>
      </c>
      <c r="E205" t="s">
        <v>36</v>
      </c>
      <c r="F205">
        <f t="shared" ca="1" si="3"/>
        <v>0.97142932348750877</v>
      </c>
      <c r="G205">
        <v>360</v>
      </c>
      <c r="H205">
        <v>5</v>
      </c>
      <c r="I205">
        <v>1</v>
      </c>
      <c r="J205">
        <v>75</v>
      </c>
      <c r="K205">
        <v>2</v>
      </c>
      <c r="L205">
        <v>38</v>
      </c>
    </row>
    <row r="206" spans="1:12" x14ac:dyDescent="0.4">
      <c r="A206" t="s">
        <v>250</v>
      </c>
      <c r="B206" t="s">
        <v>33</v>
      </c>
      <c r="C206" t="s">
        <v>45</v>
      </c>
      <c r="D206" t="s">
        <v>35</v>
      </c>
      <c r="E206" t="s">
        <v>42</v>
      </c>
      <c r="F206">
        <f t="shared" ca="1" si="3"/>
        <v>0.69730366289230539</v>
      </c>
      <c r="G206">
        <v>270</v>
      </c>
      <c r="H206">
        <v>7</v>
      </c>
      <c r="I206">
        <v>0.25</v>
      </c>
      <c r="J206">
        <v>50</v>
      </c>
      <c r="K206">
        <v>2</v>
      </c>
      <c r="L206">
        <v>37</v>
      </c>
    </row>
    <row r="207" spans="1:12" x14ac:dyDescent="0.4">
      <c r="A207" t="s">
        <v>251</v>
      </c>
      <c r="B207" t="s">
        <v>33</v>
      </c>
      <c r="C207" t="s">
        <v>34</v>
      </c>
      <c r="D207" t="s">
        <v>39</v>
      </c>
      <c r="E207" t="s">
        <v>36</v>
      </c>
      <c r="F207">
        <f t="shared" ca="1" si="3"/>
        <v>0.27983281759552103</v>
      </c>
      <c r="G207">
        <v>100</v>
      </c>
      <c r="H207">
        <v>6</v>
      </c>
      <c r="I207">
        <v>0.25</v>
      </c>
      <c r="J207">
        <v>150</v>
      </c>
      <c r="K207">
        <v>4</v>
      </c>
      <c r="L207">
        <v>58</v>
      </c>
    </row>
    <row r="208" spans="1:12" x14ac:dyDescent="0.4">
      <c r="A208" t="s">
        <v>252</v>
      </c>
      <c r="B208" t="s">
        <v>33</v>
      </c>
      <c r="C208" t="s">
        <v>52</v>
      </c>
      <c r="D208" t="s">
        <v>41</v>
      </c>
      <c r="E208" t="s">
        <v>36</v>
      </c>
      <c r="F208">
        <f t="shared" ca="1" si="3"/>
        <v>0.40482722850771913</v>
      </c>
      <c r="G208">
        <v>450</v>
      </c>
      <c r="H208">
        <v>2</v>
      </c>
      <c r="I208">
        <v>0.5</v>
      </c>
      <c r="J208">
        <v>25</v>
      </c>
      <c r="K208">
        <v>4</v>
      </c>
      <c r="L208">
        <v>24</v>
      </c>
    </row>
    <row r="209" spans="1:12" x14ac:dyDescent="0.4">
      <c r="A209" t="s">
        <v>253</v>
      </c>
      <c r="B209" t="s">
        <v>38</v>
      </c>
      <c r="C209" t="s">
        <v>52</v>
      </c>
      <c r="D209" t="s">
        <v>50</v>
      </c>
      <c r="E209" t="s">
        <v>36</v>
      </c>
      <c r="F209">
        <f t="shared" ca="1" si="3"/>
        <v>0.83060556634556726</v>
      </c>
      <c r="G209">
        <v>180</v>
      </c>
      <c r="H209">
        <v>3</v>
      </c>
      <c r="I209">
        <v>1</v>
      </c>
      <c r="J209">
        <v>100</v>
      </c>
      <c r="K209">
        <v>2</v>
      </c>
      <c r="L209">
        <v>51</v>
      </c>
    </row>
    <row r="210" spans="1:12" x14ac:dyDescent="0.4">
      <c r="A210" t="s">
        <v>254</v>
      </c>
      <c r="B210" t="s">
        <v>38</v>
      </c>
      <c r="C210" t="s">
        <v>52</v>
      </c>
      <c r="D210" t="s">
        <v>41</v>
      </c>
      <c r="E210" t="s">
        <v>42</v>
      </c>
      <c r="F210">
        <f t="shared" ca="1" si="3"/>
        <v>0.8786163470685634</v>
      </c>
      <c r="G210">
        <v>270</v>
      </c>
      <c r="H210">
        <v>4</v>
      </c>
      <c r="I210">
        <v>0.5</v>
      </c>
      <c r="J210">
        <v>40</v>
      </c>
      <c r="K210">
        <v>2</v>
      </c>
      <c r="L210">
        <v>38</v>
      </c>
    </row>
    <row r="211" spans="1:12" x14ac:dyDescent="0.4">
      <c r="A211" t="s">
        <v>255</v>
      </c>
      <c r="B211" t="s">
        <v>33</v>
      </c>
      <c r="C211" t="s">
        <v>100</v>
      </c>
      <c r="D211" t="s">
        <v>35</v>
      </c>
      <c r="E211" t="s">
        <v>36</v>
      </c>
      <c r="F211">
        <f t="shared" ca="1" si="3"/>
        <v>0.19635879507057574</v>
      </c>
      <c r="G211">
        <v>75</v>
      </c>
      <c r="H211">
        <v>1</v>
      </c>
      <c r="I211">
        <v>0.5</v>
      </c>
      <c r="J211">
        <v>48</v>
      </c>
      <c r="K211">
        <v>2</v>
      </c>
      <c r="L211">
        <v>64</v>
      </c>
    </row>
    <row r="212" spans="1:12" x14ac:dyDescent="0.4">
      <c r="A212" t="s">
        <v>256</v>
      </c>
      <c r="B212" t="s">
        <v>38</v>
      </c>
      <c r="C212" t="s">
        <v>34</v>
      </c>
      <c r="D212" t="s">
        <v>35</v>
      </c>
      <c r="E212" t="s">
        <v>36</v>
      </c>
      <c r="F212">
        <f t="shared" ca="1" si="3"/>
        <v>0.23267089512982575</v>
      </c>
      <c r="G212">
        <v>180</v>
      </c>
      <c r="H212">
        <v>4</v>
      </c>
      <c r="I212">
        <v>0.5</v>
      </c>
      <c r="J212">
        <v>40</v>
      </c>
      <c r="K212">
        <v>3</v>
      </c>
      <c r="L212">
        <v>50</v>
      </c>
    </row>
    <row r="213" spans="1:12" x14ac:dyDescent="0.4">
      <c r="A213" t="s">
        <v>257</v>
      </c>
      <c r="B213" t="s">
        <v>33</v>
      </c>
      <c r="C213" t="s">
        <v>45</v>
      </c>
      <c r="D213" t="s">
        <v>39</v>
      </c>
      <c r="E213" t="s">
        <v>42</v>
      </c>
      <c r="F213">
        <f t="shared" ca="1" si="3"/>
        <v>0.23430297400562783</v>
      </c>
      <c r="G213">
        <v>180</v>
      </c>
      <c r="H213">
        <v>5</v>
      </c>
      <c r="I213">
        <v>1</v>
      </c>
      <c r="J213">
        <v>120</v>
      </c>
      <c r="K213">
        <v>3</v>
      </c>
      <c r="L213">
        <v>53</v>
      </c>
    </row>
    <row r="214" spans="1:12" x14ac:dyDescent="0.4">
      <c r="A214" t="s">
        <v>258</v>
      </c>
      <c r="B214" t="s">
        <v>38</v>
      </c>
      <c r="C214" t="s">
        <v>34</v>
      </c>
      <c r="D214" t="s">
        <v>39</v>
      </c>
      <c r="E214" t="s">
        <v>36</v>
      </c>
      <c r="F214">
        <f t="shared" ca="1" si="3"/>
        <v>0.89718361389849433</v>
      </c>
      <c r="G214">
        <v>180</v>
      </c>
      <c r="H214">
        <v>3</v>
      </c>
      <c r="I214">
        <v>0.5</v>
      </c>
      <c r="J214">
        <v>50</v>
      </c>
      <c r="K214">
        <v>2</v>
      </c>
      <c r="L214">
        <v>50</v>
      </c>
    </row>
    <row r="215" spans="1:12" x14ac:dyDescent="0.4">
      <c r="A215" t="s">
        <v>259</v>
      </c>
      <c r="B215" t="s">
        <v>38</v>
      </c>
      <c r="C215" t="s">
        <v>34</v>
      </c>
      <c r="D215" t="s">
        <v>41</v>
      </c>
      <c r="E215" t="s">
        <v>36</v>
      </c>
      <c r="F215">
        <f t="shared" ca="1" si="3"/>
        <v>2.6631598878627094E-2</v>
      </c>
      <c r="G215">
        <v>220</v>
      </c>
      <c r="H215">
        <v>6</v>
      </c>
      <c r="I215">
        <v>1</v>
      </c>
      <c r="J215">
        <v>100</v>
      </c>
      <c r="K215">
        <v>2</v>
      </c>
      <c r="L215">
        <v>37</v>
      </c>
    </row>
    <row r="216" spans="1:12" x14ac:dyDescent="0.4">
      <c r="A216" t="s">
        <v>260</v>
      </c>
      <c r="B216" t="s">
        <v>38</v>
      </c>
      <c r="C216" t="s">
        <v>52</v>
      </c>
      <c r="D216" t="s">
        <v>35</v>
      </c>
      <c r="E216" t="s">
        <v>36</v>
      </c>
      <c r="F216">
        <f t="shared" ca="1" si="3"/>
        <v>0.91722995164884569</v>
      </c>
      <c r="G216">
        <v>270</v>
      </c>
      <c r="H216">
        <v>6</v>
      </c>
      <c r="I216">
        <v>0.5</v>
      </c>
      <c r="J216">
        <v>50</v>
      </c>
      <c r="K216">
        <v>2</v>
      </c>
      <c r="L216">
        <v>41</v>
      </c>
    </row>
    <row r="217" spans="1:12" x14ac:dyDescent="0.4">
      <c r="A217" t="s">
        <v>261</v>
      </c>
      <c r="B217" t="s">
        <v>38</v>
      </c>
      <c r="C217" t="s">
        <v>52</v>
      </c>
      <c r="D217" t="s">
        <v>35</v>
      </c>
      <c r="E217" t="s">
        <v>36</v>
      </c>
      <c r="F217">
        <f t="shared" ca="1" si="3"/>
        <v>0.50800373848150648</v>
      </c>
      <c r="G217">
        <v>360</v>
      </c>
      <c r="H217">
        <v>5</v>
      </c>
      <c r="I217">
        <v>0.75</v>
      </c>
      <c r="J217">
        <v>25</v>
      </c>
      <c r="K217">
        <v>2</v>
      </c>
      <c r="L217">
        <v>34</v>
      </c>
    </row>
    <row r="218" spans="1:12" x14ac:dyDescent="0.4">
      <c r="A218" t="s">
        <v>262</v>
      </c>
      <c r="B218" t="s">
        <v>38</v>
      </c>
      <c r="C218" t="s">
        <v>34</v>
      </c>
      <c r="D218" t="s">
        <v>35</v>
      </c>
      <c r="E218" t="s">
        <v>36</v>
      </c>
      <c r="F218">
        <f t="shared" ca="1" si="3"/>
        <v>0.77772344061421783</v>
      </c>
      <c r="G218">
        <v>270</v>
      </c>
      <c r="H218">
        <v>5</v>
      </c>
      <c r="I218">
        <v>0.25</v>
      </c>
      <c r="J218">
        <v>20</v>
      </c>
      <c r="K218">
        <v>2</v>
      </c>
      <c r="L218">
        <v>39</v>
      </c>
    </row>
    <row r="219" spans="1:12" x14ac:dyDescent="0.4">
      <c r="A219" t="s">
        <v>263</v>
      </c>
      <c r="B219" t="s">
        <v>38</v>
      </c>
      <c r="C219" t="s">
        <v>34</v>
      </c>
      <c r="D219" t="s">
        <v>35</v>
      </c>
      <c r="E219" t="s">
        <v>36</v>
      </c>
      <c r="F219">
        <f t="shared" ca="1" si="3"/>
        <v>7.8194438039393965E-3</v>
      </c>
      <c r="G219">
        <v>90</v>
      </c>
      <c r="H219">
        <v>4</v>
      </c>
      <c r="I219">
        <v>0.25</v>
      </c>
      <c r="J219">
        <v>30</v>
      </c>
      <c r="K219">
        <v>4</v>
      </c>
      <c r="L219">
        <v>72</v>
      </c>
    </row>
    <row r="220" spans="1:12" x14ac:dyDescent="0.4">
      <c r="A220" t="s">
        <v>264</v>
      </c>
      <c r="B220" t="s">
        <v>38</v>
      </c>
      <c r="C220" t="s">
        <v>52</v>
      </c>
      <c r="D220" t="s">
        <v>41</v>
      </c>
      <c r="E220" t="s">
        <v>36</v>
      </c>
      <c r="F220">
        <f t="shared" ca="1" si="3"/>
        <v>0.74282938315061009</v>
      </c>
      <c r="G220">
        <v>180</v>
      </c>
      <c r="H220">
        <v>3</v>
      </c>
      <c r="I220">
        <v>1</v>
      </c>
      <c r="J220">
        <v>25</v>
      </c>
      <c r="K220">
        <v>2</v>
      </c>
      <c r="L220">
        <v>51</v>
      </c>
    </row>
    <row r="221" spans="1:12" x14ac:dyDescent="0.4">
      <c r="A221" t="s">
        <v>265</v>
      </c>
      <c r="B221" t="s">
        <v>38</v>
      </c>
      <c r="C221" t="s">
        <v>34</v>
      </c>
      <c r="D221" t="s">
        <v>41</v>
      </c>
      <c r="E221" t="s">
        <v>36</v>
      </c>
      <c r="F221">
        <f t="shared" ca="1" si="3"/>
        <v>0.94431584025348525</v>
      </c>
      <c r="G221">
        <v>250</v>
      </c>
      <c r="H221">
        <v>4</v>
      </c>
      <c r="I221">
        <v>1</v>
      </c>
      <c r="J221">
        <v>25</v>
      </c>
      <c r="K221">
        <v>2</v>
      </c>
      <c r="L221">
        <v>40</v>
      </c>
    </row>
    <row r="222" spans="1:12" x14ac:dyDescent="0.4">
      <c r="A222" t="s">
        <v>266</v>
      </c>
      <c r="B222" t="s">
        <v>38</v>
      </c>
      <c r="C222" t="s">
        <v>52</v>
      </c>
      <c r="D222" t="s">
        <v>35</v>
      </c>
      <c r="E222" t="s">
        <v>42</v>
      </c>
      <c r="F222">
        <f t="shared" ca="1" si="3"/>
        <v>0.4569519337385809</v>
      </c>
      <c r="G222">
        <v>90</v>
      </c>
      <c r="H222">
        <v>5</v>
      </c>
      <c r="I222">
        <v>0.5</v>
      </c>
      <c r="J222">
        <v>50</v>
      </c>
      <c r="K222">
        <v>4</v>
      </c>
      <c r="L222">
        <v>62</v>
      </c>
    </row>
    <row r="223" spans="1:12" x14ac:dyDescent="0.4">
      <c r="A223" t="s">
        <v>267</v>
      </c>
      <c r="B223" t="s">
        <v>38</v>
      </c>
      <c r="C223" t="s">
        <v>52</v>
      </c>
      <c r="D223" t="s">
        <v>39</v>
      </c>
      <c r="E223" t="s">
        <v>36</v>
      </c>
      <c r="F223">
        <f t="shared" ca="1" si="3"/>
        <v>0.705856732480866</v>
      </c>
      <c r="G223">
        <v>180</v>
      </c>
      <c r="H223">
        <v>4</v>
      </c>
      <c r="I223">
        <v>0.5</v>
      </c>
      <c r="J223">
        <v>80</v>
      </c>
      <c r="K223">
        <v>3</v>
      </c>
      <c r="L223">
        <v>53</v>
      </c>
    </row>
    <row r="224" spans="1:12" x14ac:dyDescent="0.4">
      <c r="A224" t="s">
        <v>268</v>
      </c>
      <c r="B224" t="s">
        <v>38</v>
      </c>
      <c r="C224" t="s">
        <v>34</v>
      </c>
      <c r="D224" t="s">
        <v>35</v>
      </c>
      <c r="E224" t="s">
        <v>36</v>
      </c>
      <c r="F224">
        <f t="shared" ca="1" si="3"/>
        <v>0.72940948692642527</v>
      </c>
      <c r="G224">
        <v>450</v>
      </c>
      <c r="H224">
        <v>4</v>
      </c>
      <c r="I224">
        <v>2.5</v>
      </c>
      <c r="J224">
        <v>50</v>
      </c>
      <c r="K224">
        <v>3</v>
      </c>
      <c r="L224">
        <v>31</v>
      </c>
    </row>
    <row r="225" spans="1:12" x14ac:dyDescent="0.4">
      <c r="A225" t="s">
        <v>269</v>
      </c>
      <c r="B225" t="s">
        <v>38</v>
      </c>
      <c r="C225" t="s">
        <v>34</v>
      </c>
      <c r="D225" t="s">
        <v>39</v>
      </c>
      <c r="E225" t="s">
        <v>36</v>
      </c>
      <c r="F225">
        <f t="shared" ca="1" si="3"/>
        <v>0.78767061741086097</v>
      </c>
      <c r="G225">
        <v>80</v>
      </c>
      <c r="H225">
        <v>5</v>
      </c>
      <c r="I225">
        <v>0.25</v>
      </c>
      <c r="J225">
        <v>25</v>
      </c>
      <c r="K225">
        <v>3</v>
      </c>
      <c r="L225">
        <v>57</v>
      </c>
    </row>
    <row r="226" spans="1:12" x14ac:dyDescent="0.4">
      <c r="A226" t="s">
        <v>270</v>
      </c>
      <c r="B226" t="s">
        <v>38</v>
      </c>
      <c r="C226" t="s">
        <v>34</v>
      </c>
      <c r="D226" t="s">
        <v>50</v>
      </c>
      <c r="E226" t="s">
        <v>36</v>
      </c>
      <c r="F226">
        <f t="shared" ca="1" si="3"/>
        <v>0.39627027103045687</v>
      </c>
      <c r="G226">
        <v>90</v>
      </c>
      <c r="H226">
        <v>5</v>
      </c>
      <c r="I226">
        <v>0.25</v>
      </c>
      <c r="J226">
        <v>25</v>
      </c>
      <c r="K226">
        <v>4</v>
      </c>
      <c r="L226">
        <v>75</v>
      </c>
    </row>
    <row r="227" spans="1:12" x14ac:dyDescent="0.4">
      <c r="A227" t="s">
        <v>271</v>
      </c>
      <c r="B227" t="s">
        <v>33</v>
      </c>
      <c r="C227" t="s">
        <v>52</v>
      </c>
      <c r="D227" t="s">
        <v>35</v>
      </c>
      <c r="E227" t="s">
        <v>36</v>
      </c>
      <c r="F227">
        <f t="shared" ca="1" si="3"/>
        <v>0.89026374080871074</v>
      </c>
      <c r="G227">
        <v>270</v>
      </c>
      <c r="H227">
        <v>9</v>
      </c>
      <c r="I227">
        <v>0.5</v>
      </c>
      <c r="J227">
        <v>200</v>
      </c>
      <c r="K227">
        <v>5</v>
      </c>
      <c r="L227">
        <v>38</v>
      </c>
    </row>
    <row r="228" spans="1:12" x14ac:dyDescent="0.4">
      <c r="A228" t="s">
        <v>272</v>
      </c>
      <c r="B228" t="s">
        <v>38</v>
      </c>
      <c r="C228" t="s">
        <v>34</v>
      </c>
      <c r="D228" t="s">
        <v>35</v>
      </c>
      <c r="E228" t="s">
        <v>36</v>
      </c>
      <c r="F228">
        <f t="shared" ca="1" si="3"/>
        <v>0.74346619687310134</v>
      </c>
      <c r="G228">
        <v>90</v>
      </c>
      <c r="H228">
        <v>4</v>
      </c>
      <c r="I228">
        <v>0.75</v>
      </c>
      <c r="J228">
        <v>25</v>
      </c>
      <c r="K228">
        <v>3</v>
      </c>
      <c r="L228">
        <v>71</v>
      </c>
    </row>
    <row r="229" spans="1:12" x14ac:dyDescent="0.4">
      <c r="A229" t="s">
        <v>273</v>
      </c>
      <c r="B229" t="s">
        <v>38</v>
      </c>
      <c r="C229" t="s">
        <v>34</v>
      </c>
      <c r="D229" t="s">
        <v>35</v>
      </c>
      <c r="E229" t="s">
        <v>36</v>
      </c>
      <c r="F229">
        <f t="shared" ca="1" si="3"/>
        <v>0.98411712950445474</v>
      </c>
      <c r="G229">
        <v>60</v>
      </c>
      <c r="H229">
        <v>3</v>
      </c>
      <c r="I229">
        <v>0.5</v>
      </c>
      <c r="J229">
        <v>100</v>
      </c>
      <c r="K229">
        <v>3</v>
      </c>
      <c r="L229">
        <v>63</v>
      </c>
    </row>
    <row r="230" spans="1:12" x14ac:dyDescent="0.4">
      <c r="A230" t="s">
        <v>274</v>
      </c>
      <c r="B230" t="s">
        <v>33</v>
      </c>
      <c r="C230" t="s">
        <v>45</v>
      </c>
      <c r="D230" t="s">
        <v>35</v>
      </c>
      <c r="E230" t="s">
        <v>42</v>
      </c>
      <c r="F230">
        <f t="shared" ca="1" si="3"/>
        <v>0.1582224677471582</v>
      </c>
      <c r="G230">
        <v>270</v>
      </c>
      <c r="H230">
        <v>7</v>
      </c>
      <c r="I230">
        <v>3</v>
      </c>
      <c r="J230">
        <v>251</v>
      </c>
      <c r="K230">
        <v>2</v>
      </c>
      <c r="L230">
        <v>37</v>
      </c>
    </row>
    <row r="231" spans="1:12" x14ac:dyDescent="0.4">
      <c r="A231" t="s">
        <v>275</v>
      </c>
      <c r="B231" t="s">
        <v>33</v>
      </c>
      <c r="C231" t="s">
        <v>34</v>
      </c>
      <c r="D231" t="s">
        <v>39</v>
      </c>
      <c r="E231" t="s">
        <v>36</v>
      </c>
      <c r="F231">
        <f t="shared" ca="1" si="3"/>
        <v>0.86544335909173764</v>
      </c>
      <c r="G231">
        <v>90</v>
      </c>
      <c r="H231">
        <v>5</v>
      </c>
      <c r="I231">
        <v>0.3</v>
      </c>
      <c r="J231">
        <v>20</v>
      </c>
      <c r="K231">
        <v>3</v>
      </c>
      <c r="L231">
        <v>73</v>
      </c>
    </row>
    <row r="232" spans="1:12" x14ac:dyDescent="0.4">
      <c r="A232" t="s">
        <v>276</v>
      </c>
      <c r="B232" t="s">
        <v>38</v>
      </c>
      <c r="C232" t="s">
        <v>52</v>
      </c>
      <c r="D232" t="s">
        <v>39</v>
      </c>
      <c r="E232" t="s">
        <v>42</v>
      </c>
      <c r="F232">
        <f t="shared" ca="1" si="3"/>
        <v>0.88527708350692147</v>
      </c>
      <c r="G232">
        <v>330</v>
      </c>
      <c r="H232">
        <v>6</v>
      </c>
      <c r="I232">
        <v>1.5</v>
      </c>
      <c r="J232">
        <v>100</v>
      </c>
      <c r="K232">
        <v>2</v>
      </c>
      <c r="L232">
        <v>43</v>
      </c>
    </row>
    <row r="233" spans="1:12" x14ac:dyDescent="0.4">
      <c r="A233" t="s">
        <v>277</v>
      </c>
      <c r="B233" t="s">
        <v>38</v>
      </c>
      <c r="C233" t="s">
        <v>52</v>
      </c>
      <c r="D233" t="s">
        <v>39</v>
      </c>
      <c r="E233" t="s">
        <v>36</v>
      </c>
      <c r="F233">
        <f t="shared" ca="1" si="3"/>
        <v>0.3651644887641825</v>
      </c>
      <c r="G233">
        <v>90</v>
      </c>
      <c r="H233">
        <v>3</v>
      </c>
      <c r="I233">
        <v>3</v>
      </c>
      <c r="J233">
        <v>480</v>
      </c>
      <c r="K233">
        <v>2</v>
      </c>
      <c r="L233">
        <v>56</v>
      </c>
    </row>
    <row r="234" spans="1:12" x14ac:dyDescent="0.4">
      <c r="A234" t="s">
        <v>278</v>
      </c>
      <c r="B234" t="s">
        <v>38</v>
      </c>
      <c r="C234" t="s">
        <v>34</v>
      </c>
      <c r="D234" t="s">
        <v>35</v>
      </c>
      <c r="E234" t="s">
        <v>36</v>
      </c>
      <c r="F234">
        <f t="shared" ca="1" si="3"/>
        <v>0.22492951724069299</v>
      </c>
      <c r="G234">
        <v>180</v>
      </c>
      <c r="H234">
        <v>4</v>
      </c>
      <c r="I234">
        <v>1</v>
      </c>
      <c r="J234">
        <v>20</v>
      </c>
      <c r="K234">
        <v>3</v>
      </c>
      <c r="L234">
        <v>36</v>
      </c>
    </row>
    <row r="235" spans="1:12" x14ac:dyDescent="0.4">
      <c r="A235" t="s">
        <v>279</v>
      </c>
      <c r="B235" t="s">
        <v>38</v>
      </c>
      <c r="C235" t="s">
        <v>52</v>
      </c>
      <c r="D235" t="s">
        <v>39</v>
      </c>
      <c r="E235" t="s">
        <v>42</v>
      </c>
      <c r="F235">
        <f t="shared" ca="1" si="3"/>
        <v>0.44221940619163036</v>
      </c>
      <c r="G235">
        <v>300</v>
      </c>
      <c r="H235">
        <v>6</v>
      </c>
      <c r="I235">
        <v>0.75</v>
      </c>
      <c r="J235">
        <v>70</v>
      </c>
      <c r="K235">
        <v>3</v>
      </c>
      <c r="L235">
        <v>41</v>
      </c>
    </row>
    <row r="236" spans="1:12" x14ac:dyDescent="0.4">
      <c r="A236" t="s">
        <v>280</v>
      </c>
      <c r="B236" t="s">
        <v>33</v>
      </c>
      <c r="C236" t="s">
        <v>34</v>
      </c>
      <c r="D236" t="s">
        <v>35</v>
      </c>
      <c r="E236" t="s">
        <v>36</v>
      </c>
      <c r="F236">
        <f t="shared" ca="1" si="3"/>
        <v>5.43548093976296E-2</v>
      </c>
      <c r="G236">
        <v>450</v>
      </c>
      <c r="H236">
        <v>5</v>
      </c>
      <c r="I236">
        <v>1.5</v>
      </c>
      <c r="J236">
        <v>25</v>
      </c>
      <c r="K236">
        <v>4</v>
      </c>
      <c r="L236">
        <v>19</v>
      </c>
    </row>
    <row r="237" spans="1:12" x14ac:dyDescent="0.4">
      <c r="A237" t="s">
        <v>281</v>
      </c>
      <c r="B237" t="s">
        <v>38</v>
      </c>
      <c r="C237" t="s">
        <v>34</v>
      </c>
      <c r="D237" t="s">
        <v>35</v>
      </c>
      <c r="E237" t="s">
        <v>36</v>
      </c>
      <c r="F237">
        <f t="shared" ca="1" si="3"/>
        <v>0.41529788246725374</v>
      </c>
      <c r="G237">
        <v>330</v>
      </c>
      <c r="H237">
        <v>3</v>
      </c>
      <c r="I237">
        <v>2</v>
      </c>
      <c r="J237">
        <v>100</v>
      </c>
      <c r="K237">
        <v>2</v>
      </c>
      <c r="L237">
        <v>37</v>
      </c>
    </row>
    <row r="238" spans="1:12" x14ac:dyDescent="0.4">
      <c r="A238" t="s">
        <v>282</v>
      </c>
      <c r="B238" t="s">
        <v>33</v>
      </c>
      <c r="C238" t="s">
        <v>34</v>
      </c>
      <c r="D238" t="s">
        <v>39</v>
      </c>
      <c r="E238" t="s">
        <v>36</v>
      </c>
      <c r="F238">
        <f t="shared" ca="1" si="3"/>
        <v>0.27005433626550268</v>
      </c>
      <c r="G238">
        <v>90</v>
      </c>
      <c r="H238">
        <v>6</v>
      </c>
      <c r="I238">
        <v>0.25</v>
      </c>
      <c r="J238">
        <v>100</v>
      </c>
      <c r="K238">
        <v>3</v>
      </c>
      <c r="L238">
        <v>63</v>
      </c>
    </row>
    <row r="239" spans="1:12" x14ac:dyDescent="0.4">
      <c r="A239" t="s">
        <v>283</v>
      </c>
      <c r="B239" t="s">
        <v>38</v>
      </c>
      <c r="C239" t="s">
        <v>34</v>
      </c>
      <c r="D239" t="s">
        <v>35</v>
      </c>
      <c r="E239" t="s">
        <v>36</v>
      </c>
      <c r="F239">
        <f t="shared" ca="1" si="3"/>
        <v>0.67444153938147156</v>
      </c>
      <c r="G239">
        <v>100</v>
      </c>
      <c r="H239">
        <v>3</v>
      </c>
      <c r="I239">
        <v>1</v>
      </c>
      <c r="J239">
        <v>100</v>
      </c>
      <c r="K239">
        <v>3</v>
      </c>
      <c r="L239">
        <v>61</v>
      </c>
    </row>
    <row r="240" spans="1:12" x14ac:dyDescent="0.4">
      <c r="A240" t="s">
        <v>284</v>
      </c>
      <c r="B240" t="s">
        <v>38</v>
      </c>
      <c r="C240" t="s">
        <v>52</v>
      </c>
      <c r="D240" t="s">
        <v>39</v>
      </c>
      <c r="E240" t="s">
        <v>36</v>
      </c>
      <c r="F240">
        <f t="shared" ca="1" si="3"/>
        <v>0.88014597997181743</v>
      </c>
      <c r="G240">
        <v>360</v>
      </c>
      <c r="H240">
        <v>5</v>
      </c>
      <c r="I240">
        <v>0.25</v>
      </c>
      <c r="J240">
        <v>150</v>
      </c>
      <c r="K240">
        <v>2</v>
      </c>
      <c r="L240">
        <v>41</v>
      </c>
    </row>
    <row r="241" spans="1:12" x14ac:dyDescent="0.4">
      <c r="A241" t="s">
        <v>285</v>
      </c>
      <c r="B241" t="s">
        <v>33</v>
      </c>
      <c r="C241" t="s">
        <v>34</v>
      </c>
      <c r="D241" t="s">
        <v>35</v>
      </c>
      <c r="E241" t="s">
        <v>36</v>
      </c>
      <c r="F241">
        <f t="shared" ca="1" si="3"/>
        <v>0.76281648132957813</v>
      </c>
      <c r="G241">
        <v>180</v>
      </c>
      <c r="H241">
        <v>6</v>
      </c>
      <c r="I241">
        <v>0.25</v>
      </c>
      <c r="J241">
        <v>50</v>
      </c>
      <c r="K241">
        <v>5</v>
      </c>
      <c r="L241">
        <v>51</v>
      </c>
    </row>
    <row r="242" spans="1:12" x14ac:dyDescent="0.4">
      <c r="A242" t="s">
        <v>286</v>
      </c>
      <c r="B242" t="s">
        <v>38</v>
      </c>
      <c r="C242" t="s">
        <v>52</v>
      </c>
      <c r="D242" t="s">
        <v>41</v>
      </c>
      <c r="E242" t="s">
        <v>36</v>
      </c>
      <c r="F242">
        <f t="shared" ca="1" si="3"/>
        <v>0.3114698138866282</v>
      </c>
      <c r="G242">
        <v>270</v>
      </c>
      <c r="H242">
        <v>5</v>
      </c>
      <c r="I242">
        <v>1</v>
      </c>
      <c r="J242">
        <v>50</v>
      </c>
      <c r="K242">
        <v>3</v>
      </c>
      <c r="L242">
        <v>42</v>
      </c>
    </row>
    <row r="243" spans="1:12" x14ac:dyDescent="0.4">
      <c r="A243" t="s">
        <v>287</v>
      </c>
      <c r="B243" t="s">
        <v>38</v>
      </c>
      <c r="C243" t="s">
        <v>34</v>
      </c>
      <c r="D243" t="s">
        <v>39</v>
      </c>
      <c r="E243" t="s">
        <v>36</v>
      </c>
      <c r="F243">
        <f t="shared" ca="1" si="3"/>
        <v>0.98914762055034355</v>
      </c>
      <c r="G243">
        <v>90</v>
      </c>
      <c r="H243">
        <v>2</v>
      </c>
      <c r="I243">
        <v>1</v>
      </c>
      <c r="J243">
        <v>50</v>
      </c>
      <c r="K243">
        <v>4</v>
      </c>
      <c r="L243">
        <v>49</v>
      </c>
    </row>
    <row r="244" spans="1:12" x14ac:dyDescent="0.4">
      <c r="A244" t="s">
        <v>288</v>
      </c>
      <c r="B244" t="s">
        <v>38</v>
      </c>
      <c r="C244" t="s">
        <v>34</v>
      </c>
      <c r="D244" t="s">
        <v>35</v>
      </c>
      <c r="E244" t="s">
        <v>36</v>
      </c>
      <c r="F244">
        <f t="shared" ca="1" si="3"/>
        <v>0.39019740766321287</v>
      </c>
      <c r="G244">
        <v>50</v>
      </c>
      <c r="H244">
        <v>3</v>
      </c>
      <c r="I244">
        <v>0.5</v>
      </c>
      <c r="J244">
        <v>40</v>
      </c>
      <c r="K244">
        <v>2</v>
      </c>
      <c r="L244">
        <v>64</v>
      </c>
    </row>
    <row r="245" spans="1:12" x14ac:dyDescent="0.4">
      <c r="A245" t="s">
        <v>289</v>
      </c>
      <c r="B245" t="s">
        <v>38</v>
      </c>
      <c r="C245" t="s">
        <v>34</v>
      </c>
      <c r="D245" t="s">
        <v>35</v>
      </c>
      <c r="E245" t="s">
        <v>42</v>
      </c>
      <c r="F245">
        <f t="shared" ca="1" si="3"/>
        <v>0.45297178983259612</v>
      </c>
      <c r="G245">
        <v>100</v>
      </c>
      <c r="H245">
        <v>1</v>
      </c>
      <c r="I245">
        <v>0.25</v>
      </c>
      <c r="J245">
        <v>30</v>
      </c>
      <c r="K245">
        <v>3</v>
      </c>
      <c r="L245">
        <v>65</v>
      </c>
    </row>
    <row r="246" spans="1:12" x14ac:dyDescent="0.4">
      <c r="A246" t="s">
        <v>290</v>
      </c>
      <c r="B246" t="s">
        <v>33</v>
      </c>
      <c r="C246" t="s">
        <v>34</v>
      </c>
      <c r="D246" t="s">
        <v>39</v>
      </c>
      <c r="E246" t="s">
        <v>36</v>
      </c>
      <c r="F246">
        <f t="shared" ca="1" si="3"/>
        <v>0.24626655545238918</v>
      </c>
      <c r="G246">
        <v>50</v>
      </c>
      <c r="H246">
        <v>6</v>
      </c>
      <c r="I246">
        <v>0.3</v>
      </c>
      <c r="J246">
        <v>50</v>
      </c>
      <c r="K246">
        <v>5</v>
      </c>
      <c r="L246">
        <v>60</v>
      </c>
    </row>
    <row r="247" spans="1:12" x14ac:dyDescent="0.4">
      <c r="A247" t="s">
        <v>291</v>
      </c>
      <c r="B247" t="s">
        <v>38</v>
      </c>
      <c r="C247" t="s">
        <v>52</v>
      </c>
      <c r="D247" t="s">
        <v>41</v>
      </c>
      <c r="E247" t="s">
        <v>42</v>
      </c>
      <c r="F247">
        <f t="shared" ca="1" si="3"/>
        <v>0.62053018806394566</v>
      </c>
      <c r="G247">
        <v>300</v>
      </c>
      <c r="H247">
        <v>2</v>
      </c>
      <c r="I247">
        <v>2</v>
      </c>
      <c r="J247">
        <v>50</v>
      </c>
      <c r="K247">
        <v>2</v>
      </c>
      <c r="L247">
        <v>39</v>
      </c>
    </row>
    <row r="248" spans="1:12" x14ac:dyDescent="0.4">
      <c r="A248" t="s">
        <v>292</v>
      </c>
      <c r="B248" t="s">
        <v>33</v>
      </c>
      <c r="C248" t="s">
        <v>34</v>
      </c>
      <c r="D248" t="s">
        <v>35</v>
      </c>
      <c r="E248" t="s">
        <v>36</v>
      </c>
      <c r="F248">
        <f t="shared" ca="1" si="3"/>
        <v>2.21443794720243E-2</v>
      </c>
      <c r="G248">
        <v>90</v>
      </c>
      <c r="H248">
        <v>6</v>
      </c>
      <c r="I248">
        <v>0.25</v>
      </c>
      <c r="J248">
        <v>50</v>
      </c>
      <c r="K248">
        <v>3</v>
      </c>
      <c r="L248">
        <v>55</v>
      </c>
    </row>
    <row r="249" spans="1:12" x14ac:dyDescent="0.4">
      <c r="A249" t="s">
        <v>293</v>
      </c>
      <c r="B249" t="s">
        <v>33</v>
      </c>
      <c r="C249" t="s">
        <v>45</v>
      </c>
      <c r="D249" t="s">
        <v>35</v>
      </c>
      <c r="E249" t="s">
        <v>42</v>
      </c>
      <c r="F249">
        <f t="shared" ca="1" si="3"/>
        <v>0.11477609654627685</v>
      </c>
      <c r="G249">
        <v>125</v>
      </c>
      <c r="H249">
        <v>3</v>
      </c>
      <c r="I249">
        <v>0.5</v>
      </c>
      <c r="J249">
        <v>25</v>
      </c>
      <c r="K249">
        <v>2</v>
      </c>
      <c r="L249">
        <v>46</v>
      </c>
    </row>
    <row r="250" spans="1:12" x14ac:dyDescent="0.4">
      <c r="A250" t="s">
        <v>294</v>
      </c>
      <c r="B250" t="s">
        <v>38</v>
      </c>
      <c r="C250" t="s">
        <v>34</v>
      </c>
      <c r="D250" t="s">
        <v>35</v>
      </c>
      <c r="E250" t="s">
        <v>42</v>
      </c>
      <c r="F250">
        <f t="shared" ca="1" si="3"/>
        <v>0.85168230307841231</v>
      </c>
      <c r="G250">
        <v>160</v>
      </c>
      <c r="H250">
        <v>2</v>
      </c>
      <c r="I250">
        <v>0.5</v>
      </c>
      <c r="J250">
        <v>20</v>
      </c>
      <c r="K250">
        <v>3</v>
      </c>
      <c r="L250">
        <v>53</v>
      </c>
    </row>
    <row r="251" spans="1:12" x14ac:dyDescent="0.4">
      <c r="A251" t="s">
        <v>295</v>
      </c>
      <c r="B251" t="s">
        <v>33</v>
      </c>
      <c r="C251" t="s">
        <v>52</v>
      </c>
      <c r="D251" t="s">
        <v>35</v>
      </c>
      <c r="E251" t="s">
        <v>36</v>
      </c>
      <c r="F251">
        <f t="shared" ca="1" si="3"/>
        <v>0.47301255365424677</v>
      </c>
      <c r="G251">
        <v>360</v>
      </c>
      <c r="H251">
        <v>1</v>
      </c>
      <c r="I251">
        <v>1.5</v>
      </c>
      <c r="J251">
        <v>20</v>
      </c>
      <c r="K251">
        <v>4</v>
      </c>
      <c r="L251">
        <v>30</v>
      </c>
    </row>
    <row r="252" spans="1:12" x14ac:dyDescent="0.4">
      <c r="A252" t="s">
        <v>296</v>
      </c>
      <c r="B252" t="s">
        <v>38</v>
      </c>
      <c r="C252" t="s">
        <v>34</v>
      </c>
      <c r="D252" t="s">
        <v>35</v>
      </c>
      <c r="E252" t="s">
        <v>42</v>
      </c>
      <c r="F252">
        <f t="shared" ca="1" si="3"/>
        <v>0.99652194910280478</v>
      </c>
      <c r="G252">
        <v>270</v>
      </c>
      <c r="H252">
        <v>3</v>
      </c>
      <c r="I252">
        <v>1</v>
      </c>
      <c r="J252">
        <v>50</v>
      </c>
      <c r="K252">
        <v>2</v>
      </c>
      <c r="L252">
        <v>39</v>
      </c>
    </row>
    <row r="253" spans="1:12" x14ac:dyDescent="0.4">
      <c r="A253" t="s">
        <v>297</v>
      </c>
      <c r="B253" t="s">
        <v>38</v>
      </c>
      <c r="C253" t="s">
        <v>52</v>
      </c>
      <c r="D253" t="s">
        <v>41</v>
      </c>
      <c r="E253" t="s">
        <v>36</v>
      </c>
      <c r="F253">
        <f t="shared" ca="1" si="3"/>
        <v>0.48019475455945859</v>
      </c>
      <c r="G253">
        <v>200</v>
      </c>
      <c r="H253">
        <v>3</v>
      </c>
      <c r="I253">
        <v>1</v>
      </c>
      <c r="J253">
        <v>100</v>
      </c>
      <c r="K253">
        <v>3</v>
      </c>
      <c r="L253">
        <v>39</v>
      </c>
    </row>
    <row r="254" spans="1:12" x14ac:dyDescent="0.4">
      <c r="A254" t="s">
        <v>298</v>
      </c>
      <c r="B254" t="s">
        <v>38</v>
      </c>
      <c r="C254" t="s">
        <v>52</v>
      </c>
      <c r="D254" t="s">
        <v>39</v>
      </c>
      <c r="E254" t="s">
        <v>36</v>
      </c>
      <c r="F254">
        <f t="shared" ca="1" si="3"/>
        <v>0.59881792896190278</v>
      </c>
      <c r="G254">
        <v>100</v>
      </c>
      <c r="H254">
        <v>3</v>
      </c>
      <c r="I254">
        <v>0.75</v>
      </c>
      <c r="J254">
        <v>50</v>
      </c>
      <c r="K254">
        <v>2</v>
      </c>
      <c r="L254">
        <v>58</v>
      </c>
    </row>
    <row r="255" spans="1:12" x14ac:dyDescent="0.4">
      <c r="A255" t="s">
        <v>299</v>
      </c>
      <c r="B255" t="s">
        <v>38</v>
      </c>
      <c r="C255" t="s">
        <v>52</v>
      </c>
      <c r="D255" t="s">
        <v>41</v>
      </c>
      <c r="E255" t="s">
        <v>36</v>
      </c>
      <c r="F255">
        <f t="shared" ca="1" si="3"/>
        <v>0.59659230605831992</v>
      </c>
      <c r="G255">
        <v>180</v>
      </c>
      <c r="H255">
        <v>6</v>
      </c>
      <c r="I255">
        <v>0.5</v>
      </c>
      <c r="J255">
        <v>20</v>
      </c>
      <c r="K255">
        <v>2</v>
      </c>
      <c r="L255">
        <v>42</v>
      </c>
    </row>
    <row r="256" spans="1:12" x14ac:dyDescent="0.4">
      <c r="A256" t="s">
        <v>300</v>
      </c>
      <c r="B256" t="s">
        <v>33</v>
      </c>
      <c r="C256" t="s">
        <v>52</v>
      </c>
      <c r="D256" t="s">
        <v>39</v>
      </c>
      <c r="E256" t="s">
        <v>42</v>
      </c>
      <c r="F256">
        <f t="shared" ca="1" si="3"/>
        <v>0.26808582686250337</v>
      </c>
      <c r="G256">
        <v>70</v>
      </c>
      <c r="H256">
        <v>4</v>
      </c>
      <c r="I256">
        <v>0.25</v>
      </c>
      <c r="J256">
        <v>22</v>
      </c>
      <c r="K256">
        <v>4</v>
      </c>
      <c r="L256">
        <v>58</v>
      </c>
    </row>
    <row r="257" spans="1:12" x14ac:dyDescent="0.4">
      <c r="A257" t="s">
        <v>301</v>
      </c>
      <c r="B257" t="s">
        <v>38</v>
      </c>
      <c r="C257" t="s">
        <v>34</v>
      </c>
      <c r="D257" t="s">
        <v>39</v>
      </c>
      <c r="E257" t="s">
        <v>42</v>
      </c>
      <c r="F257">
        <f t="shared" ca="1" si="3"/>
        <v>0.49306509835702472</v>
      </c>
      <c r="G257">
        <v>90</v>
      </c>
      <c r="H257">
        <v>7</v>
      </c>
      <c r="I257">
        <v>0.75</v>
      </c>
      <c r="J257">
        <v>25</v>
      </c>
      <c r="K257">
        <v>3</v>
      </c>
      <c r="L257">
        <v>74</v>
      </c>
    </row>
    <row r="258" spans="1:12" x14ac:dyDescent="0.4">
      <c r="A258" t="s">
        <v>302</v>
      </c>
      <c r="B258" t="s">
        <v>38</v>
      </c>
      <c r="C258" t="s">
        <v>34</v>
      </c>
      <c r="D258" t="s">
        <v>35</v>
      </c>
      <c r="E258" t="s">
        <v>36</v>
      </c>
      <c r="F258">
        <f t="shared" ref="F258:F321" ca="1" si="4">RAND()</f>
        <v>0.94239806194826126</v>
      </c>
      <c r="G258">
        <v>270</v>
      </c>
      <c r="H258">
        <v>4</v>
      </c>
      <c r="I258">
        <v>0.3</v>
      </c>
      <c r="J258">
        <v>50</v>
      </c>
      <c r="K258">
        <v>3</v>
      </c>
      <c r="L258">
        <v>40</v>
      </c>
    </row>
    <row r="259" spans="1:12" x14ac:dyDescent="0.4">
      <c r="A259" t="s">
        <v>303</v>
      </c>
      <c r="B259" t="s">
        <v>33</v>
      </c>
      <c r="C259" t="s">
        <v>34</v>
      </c>
      <c r="D259" t="s">
        <v>41</v>
      </c>
      <c r="E259" t="s">
        <v>36</v>
      </c>
      <c r="F259">
        <f t="shared" ca="1" si="4"/>
        <v>0.10216936245992114</v>
      </c>
      <c r="G259">
        <v>180</v>
      </c>
      <c r="H259">
        <v>5</v>
      </c>
      <c r="I259">
        <v>0.5</v>
      </c>
      <c r="J259">
        <v>150</v>
      </c>
      <c r="K259">
        <v>2</v>
      </c>
      <c r="L259">
        <v>51</v>
      </c>
    </row>
    <row r="260" spans="1:12" x14ac:dyDescent="0.4">
      <c r="A260" t="s">
        <v>304</v>
      </c>
      <c r="B260" t="s">
        <v>33</v>
      </c>
      <c r="C260" t="s">
        <v>52</v>
      </c>
      <c r="D260" t="s">
        <v>50</v>
      </c>
      <c r="E260" t="s">
        <v>36</v>
      </c>
      <c r="F260">
        <f t="shared" ca="1" si="4"/>
        <v>0.94097595210636842</v>
      </c>
      <c r="G260">
        <v>270</v>
      </c>
      <c r="H260">
        <v>3</v>
      </c>
      <c r="I260">
        <v>0.5</v>
      </c>
      <c r="J260">
        <v>30</v>
      </c>
      <c r="K260">
        <v>3</v>
      </c>
      <c r="L260">
        <v>43</v>
      </c>
    </row>
    <row r="261" spans="1:12" x14ac:dyDescent="0.4">
      <c r="A261" t="s">
        <v>305</v>
      </c>
      <c r="B261" t="s">
        <v>38</v>
      </c>
      <c r="C261" t="s">
        <v>34</v>
      </c>
      <c r="D261" t="s">
        <v>41</v>
      </c>
      <c r="E261" t="s">
        <v>42</v>
      </c>
      <c r="F261">
        <f t="shared" ca="1" si="4"/>
        <v>0.68981348196997316</v>
      </c>
      <c r="G261">
        <v>450</v>
      </c>
      <c r="H261">
        <v>5</v>
      </c>
      <c r="I261">
        <v>2</v>
      </c>
      <c r="J261">
        <v>100</v>
      </c>
      <c r="K261">
        <v>5</v>
      </c>
      <c r="L261">
        <v>34</v>
      </c>
    </row>
    <row r="262" spans="1:12" x14ac:dyDescent="0.4">
      <c r="A262" t="s">
        <v>306</v>
      </c>
      <c r="B262" t="s">
        <v>38</v>
      </c>
      <c r="C262" t="s">
        <v>34</v>
      </c>
      <c r="D262" t="s">
        <v>39</v>
      </c>
      <c r="E262" t="s">
        <v>42</v>
      </c>
      <c r="F262">
        <f t="shared" ca="1" si="4"/>
        <v>0.70094787343894249</v>
      </c>
      <c r="G262">
        <v>270</v>
      </c>
      <c r="H262">
        <v>3</v>
      </c>
      <c r="I262">
        <v>1</v>
      </c>
      <c r="J262">
        <v>100</v>
      </c>
      <c r="K262">
        <v>2</v>
      </c>
      <c r="L262">
        <v>41</v>
      </c>
    </row>
    <row r="263" spans="1:12" x14ac:dyDescent="0.4">
      <c r="A263" t="s">
        <v>307</v>
      </c>
      <c r="B263" t="s">
        <v>38</v>
      </c>
      <c r="C263" t="s">
        <v>52</v>
      </c>
      <c r="D263" t="s">
        <v>35</v>
      </c>
      <c r="E263" t="s">
        <v>36</v>
      </c>
      <c r="F263">
        <f t="shared" ca="1" si="4"/>
        <v>0.94753603203866632</v>
      </c>
      <c r="G263">
        <v>180</v>
      </c>
      <c r="H263">
        <v>6</v>
      </c>
      <c r="I263">
        <v>0.5</v>
      </c>
      <c r="J263">
        <v>20</v>
      </c>
      <c r="K263">
        <v>2</v>
      </c>
      <c r="L263">
        <v>43</v>
      </c>
    </row>
    <row r="264" spans="1:12" x14ac:dyDescent="0.4">
      <c r="A264" t="s">
        <v>308</v>
      </c>
      <c r="B264" t="s">
        <v>38</v>
      </c>
      <c r="C264" t="s">
        <v>52</v>
      </c>
      <c r="D264" t="s">
        <v>39</v>
      </c>
      <c r="E264" t="s">
        <v>36</v>
      </c>
      <c r="F264">
        <f t="shared" ca="1" si="4"/>
        <v>0.67205058829639774</v>
      </c>
      <c r="G264">
        <v>450</v>
      </c>
      <c r="H264">
        <v>6</v>
      </c>
      <c r="I264">
        <v>0.75</v>
      </c>
      <c r="J264">
        <v>200</v>
      </c>
      <c r="K264">
        <v>3</v>
      </c>
      <c r="L264">
        <v>35</v>
      </c>
    </row>
    <row r="265" spans="1:12" x14ac:dyDescent="0.4">
      <c r="A265" t="s">
        <v>309</v>
      </c>
      <c r="B265" t="s">
        <v>38</v>
      </c>
      <c r="C265" t="s">
        <v>34</v>
      </c>
      <c r="D265" t="s">
        <v>41</v>
      </c>
      <c r="E265" t="s">
        <v>42</v>
      </c>
      <c r="F265">
        <f t="shared" ca="1" si="4"/>
        <v>0.52949845837733411</v>
      </c>
      <c r="G265">
        <v>360</v>
      </c>
      <c r="H265">
        <v>6</v>
      </c>
      <c r="I265">
        <v>1</v>
      </c>
      <c r="J265">
        <v>30</v>
      </c>
      <c r="K265">
        <v>2</v>
      </c>
      <c r="L265">
        <v>19</v>
      </c>
    </row>
    <row r="266" spans="1:12" x14ac:dyDescent="0.4">
      <c r="A266" t="s">
        <v>310</v>
      </c>
      <c r="B266" t="s">
        <v>33</v>
      </c>
      <c r="C266" t="s">
        <v>34</v>
      </c>
      <c r="D266" t="s">
        <v>41</v>
      </c>
      <c r="E266" t="s">
        <v>36</v>
      </c>
      <c r="F266">
        <f t="shared" ca="1" si="4"/>
        <v>0.22985777224478721</v>
      </c>
      <c r="G266">
        <v>126</v>
      </c>
      <c r="H266">
        <v>1</v>
      </c>
      <c r="I266">
        <v>1</v>
      </c>
      <c r="J266">
        <v>100</v>
      </c>
      <c r="K266">
        <v>5</v>
      </c>
      <c r="L266">
        <v>54</v>
      </c>
    </row>
    <row r="267" spans="1:12" x14ac:dyDescent="0.4">
      <c r="A267" t="s">
        <v>311</v>
      </c>
      <c r="B267" t="s">
        <v>33</v>
      </c>
      <c r="C267" t="s">
        <v>34</v>
      </c>
      <c r="D267" t="s">
        <v>35</v>
      </c>
      <c r="E267" t="s">
        <v>36</v>
      </c>
      <c r="F267">
        <f t="shared" ca="1" si="4"/>
        <v>0.77474040395962518</v>
      </c>
      <c r="G267">
        <v>50</v>
      </c>
      <c r="H267">
        <v>6</v>
      </c>
      <c r="I267">
        <v>0.5</v>
      </c>
      <c r="J267">
        <v>20</v>
      </c>
      <c r="K267">
        <v>3</v>
      </c>
      <c r="L267">
        <v>62</v>
      </c>
    </row>
    <row r="268" spans="1:12" x14ac:dyDescent="0.4">
      <c r="A268" t="s">
        <v>312</v>
      </c>
      <c r="B268" t="s">
        <v>38</v>
      </c>
      <c r="C268" t="s">
        <v>52</v>
      </c>
      <c r="D268" t="s">
        <v>35</v>
      </c>
      <c r="E268" t="s">
        <v>36</v>
      </c>
      <c r="F268">
        <f t="shared" ca="1" si="4"/>
        <v>0.24041400634126509</v>
      </c>
      <c r="G268">
        <v>270</v>
      </c>
      <c r="H268">
        <v>5</v>
      </c>
      <c r="I268">
        <v>1</v>
      </c>
      <c r="J268">
        <v>50</v>
      </c>
      <c r="K268">
        <v>2</v>
      </c>
      <c r="L268">
        <v>43</v>
      </c>
    </row>
    <row r="269" spans="1:12" x14ac:dyDescent="0.4">
      <c r="A269" t="s">
        <v>313</v>
      </c>
      <c r="B269" t="s">
        <v>38</v>
      </c>
      <c r="C269" t="s">
        <v>52</v>
      </c>
      <c r="D269" t="s">
        <v>41</v>
      </c>
      <c r="E269" t="s">
        <v>42</v>
      </c>
      <c r="F269">
        <f t="shared" ca="1" si="4"/>
        <v>0.52550684908682543</v>
      </c>
      <c r="G269">
        <v>200</v>
      </c>
      <c r="H269">
        <v>4</v>
      </c>
      <c r="I269">
        <v>0.75</v>
      </c>
      <c r="J269">
        <v>50</v>
      </c>
      <c r="K269">
        <v>2</v>
      </c>
      <c r="L269">
        <v>40</v>
      </c>
    </row>
    <row r="270" spans="1:12" x14ac:dyDescent="0.4">
      <c r="A270" t="s">
        <v>314</v>
      </c>
      <c r="B270" t="s">
        <v>33</v>
      </c>
      <c r="C270" t="s">
        <v>100</v>
      </c>
      <c r="D270" t="s">
        <v>35</v>
      </c>
      <c r="E270" t="s">
        <v>42</v>
      </c>
      <c r="F270">
        <f t="shared" ca="1" si="4"/>
        <v>5.1609467994682134E-2</v>
      </c>
      <c r="G270">
        <v>90</v>
      </c>
      <c r="H270">
        <v>1</v>
      </c>
      <c r="I270">
        <v>0.5</v>
      </c>
      <c r="J270">
        <v>20</v>
      </c>
      <c r="K270">
        <v>4</v>
      </c>
      <c r="L270">
        <v>63</v>
      </c>
    </row>
    <row r="271" spans="1:12" x14ac:dyDescent="0.4">
      <c r="A271" t="s">
        <v>315</v>
      </c>
      <c r="B271" t="s">
        <v>33</v>
      </c>
      <c r="C271" t="s">
        <v>34</v>
      </c>
      <c r="D271" t="s">
        <v>39</v>
      </c>
      <c r="E271" t="s">
        <v>42</v>
      </c>
      <c r="F271">
        <f t="shared" ca="1" si="4"/>
        <v>0.25620969154432016</v>
      </c>
      <c r="G271">
        <v>360</v>
      </c>
      <c r="H271">
        <v>6</v>
      </c>
      <c r="I271">
        <v>1</v>
      </c>
      <c r="J271">
        <v>20</v>
      </c>
      <c r="K271">
        <v>5</v>
      </c>
      <c r="L271">
        <v>31</v>
      </c>
    </row>
    <row r="272" spans="1:12" x14ac:dyDescent="0.4">
      <c r="A272" t="s">
        <v>316</v>
      </c>
      <c r="B272" t="s">
        <v>33</v>
      </c>
      <c r="C272" t="s">
        <v>34</v>
      </c>
      <c r="D272" t="s">
        <v>39</v>
      </c>
      <c r="E272" t="s">
        <v>36</v>
      </c>
      <c r="F272">
        <f t="shared" ca="1" si="4"/>
        <v>0.75963403031801091</v>
      </c>
      <c r="G272">
        <v>270</v>
      </c>
      <c r="H272">
        <v>3</v>
      </c>
      <c r="I272">
        <v>0.75</v>
      </c>
      <c r="J272">
        <v>50</v>
      </c>
      <c r="K272">
        <v>3</v>
      </c>
      <c r="L272">
        <v>39</v>
      </c>
    </row>
    <row r="273" spans="1:12" x14ac:dyDescent="0.4">
      <c r="A273" t="s">
        <v>317</v>
      </c>
      <c r="B273" t="s">
        <v>38</v>
      </c>
      <c r="C273" t="s">
        <v>52</v>
      </c>
      <c r="D273" t="s">
        <v>35</v>
      </c>
      <c r="E273" t="s">
        <v>42</v>
      </c>
      <c r="F273">
        <f t="shared" ca="1" si="4"/>
        <v>0.20940065984355083</v>
      </c>
      <c r="G273">
        <v>50</v>
      </c>
      <c r="H273">
        <v>3</v>
      </c>
      <c r="I273">
        <v>1.5</v>
      </c>
      <c r="J273">
        <v>50</v>
      </c>
      <c r="K273">
        <v>2</v>
      </c>
      <c r="L273">
        <v>65</v>
      </c>
    </row>
    <row r="274" spans="1:12" x14ac:dyDescent="0.4">
      <c r="A274" t="s">
        <v>318</v>
      </c>
      <c r="B274" t="s">
        <v>38</v>
      </c>
      <c r="C274" t="s">
        <v>34</v>
      </c>
      <c r="D274" t="s">
        <v>35</v>
      </c>
      <c r="E274" t="s">
        <v>42</v>
      </c>
      <c r="F274">
        <f t="shared" ca="1" si="4"/>
        <v>0.76317303365434364</v>
      </c>
      <c r="G274">
        <v>180</v>
      </c>
      <c r="H274">
        <v>4</v>
      </c>
      <c r="I274">
        <v>0.5</v>
      </c>
      <c r="J274">
        <v>150</v>
      </c>
      <c r="K274">
        <v>6</v>
      </c>
      <c r="L274">
        <v>54</v>
      </c>
    </row>
    <row r="275" spans="1:12" x14ac:dyDescent="0.4">
      <c r="A275" t="s">
        <v>319</v>
      </c>
      <c r="B275" t="s">
        <v>33</v>
      </c>
      <c r="C275" t="s">
        <v>52</v>
      </c>
      <c r="D275" t="s">
        <v>50</v>
      </c>
      <c r="E275" t="s">
        <v>42</v>
      </c>
      <c r="F275">
        <f t="shared" ca="1" si="4"/>
        <v>0.80712714749150938</v>
      </c>
      <c r="G275">
        <v>270</v>
      </c>
      <c r="H275">
        <v>2</v>
      </c>
      <c r="I275">
        <v>0.5</v>
      </c>
      <c r="J275">
        <v>30</v>
      </c>
      <c r="K275">
        <v>2</v>
      </c>
      <c r="L275">
        <v>42</v>
      </c>
    </row>
    <row r="276" spans="1:12" x14ac:dyDescent="0.4">
      <c r="A276" t="s">
        <v>320</v>
      </c>
      <c r="B276" t="s">
        <v>33</v>
      </c>
      <c r="C276" t="s">
        <v>34</v>
      </c>
      <c r="D276" t="s">
        <v>35</v>
      </c>
      <c r="E276" t="s">
        <v>36</v>
      </c>
      <c r="F276">
        <f t="shared" ca="1" si="4"/>
        <v>0.56396319024847108</v>
      </c>
      <c r="G276">
        <v>60</v>
      </c>
      <c r="H276">
        <v>3</v>
      </c>
      <c r="I276">
        <v>0.5</v>
      </c>
      <c r="J276">
        <v>25</v>
      </c>
      <c r="K276">
        <v>4</v>
      </c>
      <c r="L276">
        <v>62</v>
      </c>
    </row>
    <row r="277" spans="1:12" x14ac:dyDescent="0.4">
      <c r="A277" t="s">
        <v>321</v>
      </c>
      <c r="B277" t="s">
        <v>33</v>
      </c>
      <c r="C277" t="s">
        <v>52</v>
      </c>
      <c r="D277" t="s">
        <v>35</v>
      </c>
      <c r="E277" t="s">
        <v>42</v>
      </c>
      <c r="F277">
        <f t="shared" ca="1" si="4"/>
        <v>0.80466876063797876</v>
      </c>
      <c r="G277">
        <v>400</v>
      </c>
      <c r="H277">
        <v>1</v>
      </c>
      <c r="I277">
        <v>0.3</v>
      </c>
      <c r="J277">
        <v>20</v>
      </c>
      <c r="K277">
        <v>3</v>
      </c>
      <c r="L277">
        <v>24</v>
      </c>
    </row>
    <row r="278" spans="1:12" x14ac:dyDescent="0.4">
      <c r="A278" t="s">
        <v>322</v>
      </c>
      <c r="B278" t="s">
        <v>38</v>
      </c>
      <c r="C278" t="s">
        <v>34</v>
      </c>
      <c r="D278" t="s">
        <v>41</v>
      </c>
      <c r="E278" t="s">
        <v>42</v>
      </c>
      <c r="F278">
        <f t="shared" ca="1" si="4"/>
        <v>0.41424720704744478</v>
      </c>
      <c r="G278">
        <v>180</v>
      </c>
      <c r="H278">
        <v>4</v>
      </c>
      <c r="I278">
        <v>0.5</v>
      </c>
      <c r="J278">
        <v>350</v>
      </c>
      <c r="K278">
        <v>5</v>
      </c>
      <c r="L278">
        <v>54</v>
      </c>
    </row>
    <row r="279" spans="1:12" x14ac:dyDescent="0.4">
      <c r="A279" t="s">
        <v>323</v>
      </c>
      <c r="B279" t="s">
        <v>38</v>
      </c>
      <c r="C279" t="s">
        <v>34</v>
      </c>
      <c r="D279" t="s">
        <v>35</v>
      </c>
      <c r="E279" t="s">
        <v>36</v>
      </c>
      <c r="F279">
        <f t="shared" ca="1" si="4"/>
        <v>0.77932826015164569</v>
      </c>
      <c r="G279">
        <v>135</v>
      </c>
      <c r="H279">
        <v>4</v>
      </c>
      <c r="I279">
        <v>0.25</v>
      </c>
      <c r="J279">
        <v>40</v>
      </c>
      <c r="K279">
        <v>3</v>
      </c>
      <c r="L279">
        <v>50</v>
      </c>
    </row>
    <row r="280" spans="1:12" x14ac:dyDescent="0.4">
      <c r="A280" t="s">
        <v>324</v>
      </c>
      <c r="B280" t="s">
        <v>38</v>
      </c>
      <c r="C280" t="s">
        <v>34</v>
      </c>
      <c r="D280" t="s">
        <v>39</v>
      </c>
      <c r="E280" t="s">
        <v>36</v>
      </c>
      <c r="F280">
        <f t="shared" ca="1" si="4"/>
        <v>0.11903296538050434</v>
      </c>
      <c r="G280">
        <v>180</v>
      </c>
      <c r="H280">
        <v>5</v>
      </c>
      <c r="I280">
        <v>1</v>
      </c>
      <c r="J280">
        <v>20</v>
      </c>
      <c r="K280">
        <v>3</v>
      </c>
      <c r="L280">
        <v>41</v>
      </c>
    </row>
    <row r="281" spans="1:12" x14ac:dyDescent="0.4">
      <c r="A281" t="s">
        <v>325</v>
      </c>
      <c r="B281" t="s">
        <v>38</v>
      </c>
      <c r="C281" t="s">
        <v>52</v>
      </c>
      <c r="D281" t="s">
        <v>41</v>
      </c>
      <c r="E281" t="s">
        <v>36</v>
      </c>
      <c r="F281">
        <f t="shared" ca="1" si="4"/>
        <v>0.82985674343720583</v>
      </c>
      <c r="G281">
        <v>270</v>
      </c>
      <c r="H281">
        <v>6</v>
      </c>
      <c r="I281">
        <v>1</v>
      </c>
      <c r="J281">
        <v>25</v>
      </c>
      <c r="K281">
        <v>4</v>
      </c>
      <c r="L281">
        <v>42</v>
      </c>
    </row>
    <row r="282" spans="1:12" x14ac:dyDescent="0.4">
      <c r="A282" t="s">
        <v>326</v>
      </c>
      <c r="B282" t="s">
        <v>38</v>
      </c>
      <c r="C282" t="s">
        <v>34</v>
      </c>
      <c r="D282" t="s">
        <v>35</v>
      </c>
      <c r="E282" t="s">
        <v>36</v>
      </c>
      <c r="F282">
        <f t="shared" ca="1" si="4"/>
        <v>0.21998093892234927</v>
      </c>
      <c r="G282">
        <v>360</v>
      </c>
      <c r="H282">
        <v>5</v>
      </c>
      <c r="I282">
        <v>0.5</v>
      </c>
      <c r="J282">
        <v>70</v>
      </c>
      <c r="K282">
        <v>2</v>
      </c>
      <c r="L282">
        <v>29</v>
      </c>
    </row>
    <row r="283" spans="1:12" x14ac:dyDescent="0.4">
      <c r="A283" t="s">
        <v>327</v>
      </c>
      <c r="B283" t="s">
        <v>38</v>
      </c>
      <c r="C283" t="s">
        <v>52</v>
      </c>
      <c r="D283" t="s">
        <v>39</v>
      </c>
      <c r="E283" t="s">
        <v>42</v>
      </c>
      <c r="F283">
        <f t="shared" ca="1" si="4"/>
        <v>0.29443156386100366</v>
      </c>
      <c r="G283">
        <v>160</v>
      </c>
      <c r="H283">
        <v>5</v>
      </c>
      <c r="I283">
        <v>0.5</v>
      </c>
      <c r="J283">
        <v>150</v>
      </c>
      <c r="K283">
        <v>3</v>
      </c>
      <c r="L283">
        <v>54</v>
      </c>
    </row>
    <row r="284" spans="1:12" x14ac:dyDescent="0.4">
      <c r="A284" t="s">
        <v>328</v>
      </c>
      <c r="B284" t="s">
        <v>38</v>
      </c>
      <c r="C284" t="s">
        <v>34</v>
      </c>
      <c r="D284" t="s">
        <v>39</v>
      </c>
      <c r="E284" t="s">
        <v>36</v>
      </c>
      <c r="F284">
        <f t="shared" ca="1" si="4"/>
        <v>0.85788240982905706</v>
      </c>
      <c r="G284">
        <v>100</v>
      </c>
      <c r="H284">
        <v>5</v>
      </c>
      <c r="I284">
        <v>0.25</v>
      </c>
      <c r="J284">
        <v>75</v>
      </c>
      <c r="K284">
        <v>3</v>
      </c>
      <c r="L284">
        <v>59</v>
      </c>
    </row>
    <row r="285" spans="1:12" x14ac:dyDescent="0.4">
      <c r="A285" t="s">
        <v>329</v>
      </c>
      <c r="B285" t="s">
        <v>38</v>
      </c>
      <c r="C285" t="s">
        <v>34</v>
      </c>
      <c r="D285" t="s">
        <v>35</v>
      </c>
      <c r="E285" t="s">
        <v>36</v>
      </c>
      <c r="F285">
        <f t="shared" ca="1" si="4"/>
        <v>0.50027566678656432</v>
      </c>
      <c r="G285">
        <v>180</v>
      </c>
      <c r="H285">
        <v>5</v>
      </c>
      <c r="I285">
        <v>1</v>
      </c>
      <c r="J285">
        <v>20</v>
      </c>
      <c r="K285">
        <v>2</v>
      </c>
      <c r="L285">
        <v>42</v>
      </c>
    </row>
    <row r="286" spans="1:12" x14ac:dyDescent="0.4">
      <c r="A286" t="s">
        <v>330</v>
      </c>
      <c r="B286" t="s">
        <v>38</v>
      </c>
      <c r="C286" t="s">
        <v>52</v>
      </c>
      <c r="D286" t="s">
        <v>35</v>
      </c>
      <c r="E286" t="s">
        <v>42</v>
      </c>
      <c r="F286">
        <f t="shared" ca="1" si="4"/>
        <v>0.63728405309981462</v>
      </c>
      <c r="G286">
        <v>360</v>
      </c>
      <c r="H286">
        <v>6</v>
      </c>
      <c r="I286">
        <v>0.5</v>
      </c>
      <c r="J286">
        <v>180</v>
      </c>
      <c r="K286">
        <v>3</v>
      </c>
      <c r="L286">
        <v>43</v>
      </c>
    </row>
    <row r="287" spans="1:12" x14ac:dyDescent="0.4">
      <c r="A287" t="s">
        <v>331</v>
      </c>
      <c r="B287" t="s">
        <v>38</v>
      </c>
      <c r="C287" t="s">
        <v>34</v>
      </c>
      <c r="D287" t="s">
        <v>39</v>
      </c>
      <c r="E287" t="s">
        <v>42</v>
      </c>
      <c r="F287">
        <f t="shared" ca="1" si="4"/>
        <v>0.43077695005046546</v>
      </c>
      <c r="G287">
        <v>50</v>
      </c>
      <c r="H287">
        <v>5</v>
      </c>
      <c r="I287">
        <v>0.25</v>
      </c>
      <c r="J287">
        <v>75</v>
      </c>
      <c r="K287">
        <v>2</v>
      </c>
      <c r="L287">
        <v>59</v>
      </c>
    </row>
    <row r="288" spans="1:12" x14ac:dyDescent="0.4">
      <c r="A288" t="s">
        <v>332</v>
      </c>
      <c r="B288" t="s">
        <v>38</v>
      </c>
      <c r="C288" t="s">
        <v>34</v>
      </c>
      <c r="D288" t="s">
        <v>35</v>
      </c>
      <c r="E288" t="s">
        <v>36</v>
      </c>
      <c r="F288">
        <f t="shared" ca="1" si="4"/>
        <v>0.93232129549066178</v>
      </c>
      <c r="G288">
        <v>270</v>
      </c>
      <c r="H288">
        <v>3</v>
      </c>
      <c r="I288">
        <v>1</v>
      </c>
      <c r="J288">
        <v>25</v>
      </c>
      <c r="K288">
        <v>2</v>
      </c>
      <c r="L288">
        <v>44</v>
      </c>
    </row>
    <row r="289" spans="1:12" x14ac:dyDescent="0.4">
      <c r="A289" t="s">
        <v>333</v>
      </c>
      <c r="B289" t="s">
        <v>33</v>
      </c>
      <c r="C289" t="s">
        <v>34</v>
      </c>
      <c r="D289" t="s">
        <v>35</v>
      </c>
      <c r="E289" t="s">
        <v>36</v>
      </c>
      <c r="F289">
        <f t="shared" ca="1" si="4"/>
        <v>0.39939996010064649</v>
      </c>
      <c r="G289">
        <v>90</v>
      </c>
      <c r="H289">
        <v>6</v>
      </c>
      <c r="I289">
        <v>0.5</v>
      </c>
      <c r="J289">
        <v>20</v>
      </c>
      <c r="K289">
        <v>3</v>
      </c>
      <c r="L289">
        <v>62</v>
      </c>
    </row>
    <row r="290" spans="1:12" x14ac:dyDescent="0.4">
      <c r="A290" t="s">
        <v>334</v>
      </c>
      <c r="B290" t="s">
        <v>38</v>
      </c>
      <c r="C290" t="s">
        <v>34</v>
      </c>
      <c r="D290" t="s">
        <v>39</v>
      </c>
      <c r="E290" t="s">
        <v>36</v>
      </c>
      <c r="F290">
        <f t="shared" ca="1" si="4"/>
        <v>2.9896324654862694E-2</v>
      </c>
      <c r="G290">
        <v>90</v>
      </c>
      <c r="H290">
        <v>3</v>
      </c>
      <c r="I290">
        <v>0.5</v>
      </c>
      <c r="J290">
        <v>20</v>
      </c>
      <c r="K290">
        <v>2</v>
      </c>
      <c r="L290">
        <v>60</v>
      </c>
    </row>
    <row r="291" spans="1:12" x14ac:dyDescent="0.4">
      <c r="A291" t="s">
        <v>335</v>
      </c>
      <c r="B291" t="s">
        <v>38</v>
      </c>
      <c r="C291" t="s">
        <v>34</v>
      </c>
      <c r="D291" t="s">
        <v>35</v>
      </c>
      <c r="E291" t="s">
        <v>36</v>
      </c>
      <c r="F291">
        <f t="shared" ca="1" si="4"/>
        <v>0.1456774668896228</v>
      </c>
      <c r="G291">
        <v>360</v>
      </c>
      <c r="H291">
        <v>6</v>
      </c>
      <c r="I291">
        <v>1</v>
      </c>
      <c r="J291">
        <v>20</v>
      </c>
      <c r="K291">
        <v>2</v>
      </c>
      <c r="L291">
        <v>20</v>
      </c>
    </row>
    <row r="292" spans="1:12" x14ac:dyDescent="0.4">
      <c r="A292" t="s">
        <v>336</v>
      </c>
      <c r="B292" t="s">
        <v>33</v>
      </c>
      <c r="C292" t="s">
        <v>34</v>
      </c>
      <c r="D292" t="s">
        <v>35</v>
      </c>
      <c r="E292" t="s">
        <v>36</v>
      </c>
      <c r="F292">
        <f t="shared" ca="1" si="4"/>
        <v>0.39353776223362202</v>
      </c>
      <c r="G292">
        <v>80</v>
      </c>
      <c r="H292">
        <v>2</v>
      </c>
      <c r="I292">
        <v>1</v>
      </c>
      <c r="J292">
        <v>50</v>
      </c>
      <c r="K292">
        <v>3</v>
      </c>
      <c r="L292">
        <v>59</v>
      </c>
    </row>
    <row r="293" spans="1:12" x14ac:dyDescent="0.4">
      <c r="A293" t="s">
        <v>337</v>
      </c>
      <c r="B293" t="s">
        <v>33</v>
      </c>
      <c r="C293" t="s">
        <v>100</v>
      </c>
      <c r="D293" t="s">
        <v>35</v>
      </c>
      <c r="E293" t="s">
        <v>36</v>
      </c>
      <c r="F293">
        <f t="shared" ca="1" si="4"/>
        <v>0.83687259694879446</v>
      </c>
      <c r="G293">
        <v>100</v>
      </c>
      <c r="H293">
        <v>1</v>
      </c>
      <c r="I293">
        <v>0.25</v>
      </c>
      <c r="J293">
        <v>120</v>
      </c>
      <c r="K293">
        <v>3</v>
      </c>
      <c r="L293">
        <v>59</v>
      </c>
    </row>
    <row r="294" spans="1:12" x14ac:dyDescent="0.4">
      <c r="A294" t="s">
        <v>338</v>
      </c>
      <c r="B294" t="s">
        <v>38</v>
      </c>
      <c r="C294" t="s">
        <v>52</v>
      </c>
      <c r="D294" t="s">
        <v>35</v>
      </c>
      <c r="E294" t="s">
        <v>42</v>
      </c>
      <c r="F294">
        <f t="shared" ca="1" si="4"/>
        <v>0.37480008548342914</v>
      </c>
      <c r="G294">
        <v>270</v>
      </c>
      <c r="H294">
        <v>6</v>
      </c>
      <c r="I294">
        <v>0.5</v>
      </c>
      <c r="J294">
        <v>70</v>
      </c>
      <c r="K294">
        <v>2</v>
      </c>
      <c r="L294">
        <v>42</v>
      </c>
    </row>
    <row r="295" spans="1:12" x14ac:dyDescent="0.4">
      <c r="A295" t="s">
        <v>339</v>
      </c>
      <c r="B295" t="s">
        <v>38</v>
      </c>
      <c r="C295" t="s">
        <v>77</v>
      </c>
      <c r="D295" t="s">
        <v>35</v>
      </c>
      <c r="E295" t="s">
        <v>36</v>
      </c>
      <c r="F295">
        <f t="shared" ca="1" si="4"/>
        <v>0.80425673320446778</v>
      </c>
      <c r="G295">
        <v>360</v>
      </c>
      <c r="H295">
        <v>6</v>
      </c>
      <c r="I295">
        <v>1</v>
      </c>
      <c r="J295">
        <v>25</v>
      </c>
      <c r="K295">
        <v>2</v>
      </c>
      <c r="L295">
        <v>32</v>
      </c>
    </row>
    <row r="296" spans="1:12" x14ac:dyDescent="0.4">
      <c r="A296" t="s">
        <v>340</v>
      </c>
      <c r="B296" t="s">
        <v>38</v>
      </c>
      <c r="C296" t="s">
        <v>34</v>
      </c>
      <c r="D296" t="s">
        <v>41</v>
      </c>
      <c r="E296" t="s">
        <v>36</v>
      </c>
      <c r="F296">
        <f t="shared" ca="1" si="4"/>
        <v>5.7055056638861235E-2</v>
      </c>
      <c r="G296">
        <v>540</v>
      </c>
      <c r="H296">
        <v>4</v>
      </c>
      <c r="I296">
        <v>2</v>
      </c>
      <c r="J296">
        <v>50</v>
      </c>
      <c r="K296">
        <v>3</v>
      </c>
      <c r="L296">
        <v>26</v>
      </c>
    </row>
    <row r="297" spans="1:12" x14ac:dyDescent="0.4">
      <c r="A297" t="s">
        <v>341</v>
      </c>
      <c r="B297" t="s">
        <v>33</v>
      </c>
      <c r="C297" t="s">
        <v>52</v>
      </c>
      <c r="D297" t="s">
        <v>35</v>
      </c>
      <c r="E297" t="s">
        <v>36</v>
      </c>
      <c r="F297">
        <f t="shared" ca="1" si="4"/>
        <v>0.52319756244774251</v>
      </c>
      <c r="G297">
        <v>330</v>
      </c>
      <c r="H297">
        <v>2</v>
      </c>
      <c r="I297">
        <v>1</v>
      </c>
      <c r="J297">
        <v>100</v>
      </c>
      <c r="K297">
        <v>3</v>
      </c>
      <c r="L297">
        <v>42</v>
      </c>
    </row>
    <row r="298" spans="1:12" x14ac:dyDescent="0.4">
      <c r="A298" t="s">
        <v>342</v>
      </c>
      <c r="B298" t="s">
        <v>33</v>
      </c>
      <c r="C298" t="s">
        <v>77</v>
      </c>
      <c r="D298" t="s">
        <v>98</v>
      </c>
      <c r="E298" t="s">
        <v>42</v>
      </c>
      <c r="F298">
        <f t="shared" ca="1" si="4"/>
        <v>0.90390576687621305</v>
      </c>
      <c r="G298">
        <v>540</v>
      </c>
      <c r="H298">
        <v>6</v>
      </c>
      <c r="I298">
        <v>0.75</v>
      </c>
      <c r="J298">
        <v>25</v>
      </c>
      <c r="K298">
        <v>6</v>
      </c>
      <c r="L298">
        <v>25</v>
      </c>
    </row>
    <row r="299" spans="1:12" x14ac:dyDescent="0.4">
      <c r="A299" t="s">
        <v>343</v>
      </c>
      <c r="B299" t="s">
        <v>33</v>
      </c>
      <c r="C299" t="s">
        <v>34</v>
      </c>
      <c r="D299" t="s">
        <v>35</v>
      </c>
      <c r="E299" t="s">
        <v>36</v>
      </c>
      <c r="F299">
        <f t="shared" ca="1" si="4"/>
        <v>0.34169768558953262</v>
      </c>
      <c r="G299">
        <v>540</v>
      </c>
      <c r="H299">
        <v>1</v>
      </c>
      <c r="I299">
        <v>3</v>
      </c>
      <c r="J299">
        <v>100</v>
      </c>
      <c r="K299">
        <v>2</v>
      </c>
      <c r="L299">
        <v>22</v>
      </c>
    </row>
    <row r="300" spans="1:12" x14ac:dyDescent="0.4">
      <c r="A300" t="s">
        <v>344</v>
      </c>
      <c r="B300" t="s">
        <v>38</v>
      </c>
      <c r="C300" t="s">
        <v>34</v>
      </c>
      <c r="D300" t="s">
        <v>35</v>
      </c>
      <c r="E300" t="s">
        <v>36</v>
      </c>
      <c r="F300">
        <f t="shared" ca="1" si="4"/>
        <v>0.59331771456208793</v>
      </c>
      <c r="G300">
        <v>200</v>
      </c>
      <c r="H300">
        <v>3</v>
      </c>
      <c r="I300">
        <v>0.5</v>
      </c>
      <c r="J300">
        <v>25</v>
      </c>
      <c r="K300">
        <v>4</v>
      </c>
      <c r="L300">
        <v>43</v>
      </c>
    </row>
    <row r="301" spans="1:12" x14ac:dyDescent="0.4">
      <c r="A301" t="s">
        <v>345</v>
      </c>
      <c r="B301" t="s">
        <v>38</v>
      </c>
      <c r="C301" t="s">
        <v>45</v>
      </c>
      <c r="D301" t="s">
        <v>35</v>
      </c>
      <c r="E301" t="s">
        <v>36</v>
      </c>
      <c r="F301">
        <f t="shared" ca="1" si="4"/>
        <v>0.74016160125060437</v>
      </c>
      <c r="G301">
        <v>180</v>
      </c>
      <c r="H301">
        <v>6</v>
      </c>
      <c r="I301">
        <v>0.5</v>
      </c>
      <c r="J301">
        <v>40</v>
      </c>
      <c r="K301">
        <v>2</v>
      </c>
      <c r="L301">
        <v>47</v>
      </c>
    </row>
    <row r="302" spans="1:12" x14ac:dyDescent="0.4">
      <c r="A302" t="s">
        <v>346</v>
      </c>
      <c r="B302" t="s">
        <v>33</v>
      </c>
      <c r="C302" t="s">
        <v>34</v>
      </c>
      <c r="D302" t="s">
        <v>39</v>
      </c>
      <c r="E302" t="s">
        <v>42</v>
      </c>
      <c r="F302">
        <f t="shared" ca="1" si="4"/>
        <v>6.6581097053861948E-2</v>
      </c>
      <c r="G302">
        <v>450</v>
      </c>
      <c r="H302">
        <v>6</v>
      </c>
      <c r="I302">
        <v>0.25</v>
      </c>
      <c r="J302">
        <v>20</v>
      </c>
      <c r="K302">
        <v>3</v>
      </c>
      <c r="L302">
        <v>18</v>
      </c>
    </row>
    <row r="303" spans="1:12" x14ac:dyDescent="0.4">
      <c r="A303" t="s">
        <v>347</v>
      </c>
      <c r="B303" t="s">
        <v>33</v>
      </c>
      <c r="C303" t="s">
        <v>52</v>
      </c>
      <c r="D303" t="s">
        <v>35</v>
      </c>
      <c r="E303" t="s">
        <v>36</v>
      </c>
      <c r="F303">
        <f t="shared" ca="1" si="4"/>
        <v>0.23104188412732285</v>
      </c>
      <c r="G303">
        <v>180</v>
      </c>
      <c r="H303">
        <v>3</v>
      </c>
      <c r="I303">
        <v>1</v>
      </c>
      <c r="J303">
        <v>200</v>
      </c>
      <c r="K303">
        <v>2</v>
      </c>
      <c r="L303">
        <v>50</v>
      </c>
    </row>
    <row r="304" spans="1:12" x14ac:dyDescent="0.4">
      <c r="A304" t="s">
        <v>348</v>
      </c>
      <c r="B304" t="s">
        <v>33</v>
      </c>
      <c r="C304" t="s">
        <v>34</v>
      </c>
      <c r="D304" t="s">
        <v>35</v>
      </c>
      <c r="E304" t="s">
        <v>36</v>
      </c>
      <c r="F304">
        <f t="shared" ca="1" si="4"/>
        <v>0.25014588651607761</v>
      </c>
      <c r="G304">
        <v>180</v>
      </c>
      <c r="H304">
        <v>3</v>
      </c>
      <c r="I304">
        <v>0.25</v>
      </c>
      <c r="J304">
        <v>100</v>
      </c>
      <c r="K304">
        <v>3</v>
      </c>
      <c r="L304">
        <v>53</v>
      </c>
    </row>
    <row r="305" spans="1:12" x14ac:dyDescent="0.4">
      <c r="A305" t="s">
        <v>349</v>
      </c>
      <c r="B305" t="s">
        <v>38</v>
      </c>
      <c r="C305" t="s">
        <v>52</v>
      </c>
      <c r="D305" t="s">
        <v>35</v>
      </c>
      <c r="E305" t="s">
        <v>36</v>
      </c>
      <c r="F305">
        <f t="shared" ca="1" si="4"/>
        <v>0.55467478517446289</v>
      </c>
      <c r="G305">
        <v>150</v>
      </c>
      <c r="H305">
        <v>4</v>
      </c>
      <c r="I305">
        <v>1.5</v>
      </c>
      <c r="J305">
        <v>20</v>
      </c>
      <c r="K305">
        <v>3</v>
      </c>
      <c r="L305">
        <v>52</v>
      </c>
    </row>
    <row r="306" spans="1:12" x14ac:dyDescent="0.4">
      <c r="A306" t="s">
        <v>350</v>
      </c>
      <c r="B306" t="s">
        <v>33</v>
      </c>
      <c r="C306" t="s">
        <v>52</v>
      </c>
      <c r="D306" t="s">
        <v>35</v>
      </c>
      <c r="E306" t="s">
        <v>36</v>
      </c>
      <c r="F306">
        <f t="shared" ca="1" si="4"/>
        <v>0.22279880769750093</v>
      </c>
      <c r="G306">
        <v>600</v>
      </c>
      <c r="H306">
        <v>1</v>
      </c>
      <c r="I306">
        <v>4</v>
      </c>
      <c r="J306">
        <v>300</v>
      </c>
      <c r="K306">
        <v>8</v>
      </c>
      <c r="L306">
        <v>55</v>
      </c>
    </row>
    <row r="307" spans="1:12" x14ac:dyDescent="0.4">
      <c r="A307" t="s">
        <v>351</v>
      </c>
      <c r="B307" t="s">
        <v>33</v>
      </c>
      <c r="C307" t="s">
        <v>34</v>
      </c>
      <c r="D307" t="s">
        <v>39</v>
      </c>
      <c r="E307" t="s">
        <v>36</v>
      </c>
      <c r="F307">
        <f t="shared" ca="1" si="4"/>
        <v>2.4513237978753488E-2</v>
      </c>
      <c r="G307">
        <v>180</v>
      </c>
      <c r="H307">
        <v>3</v>
      </c>
      <c r="I307">
        <v>0.5</v>
      </c>
      <c r="J307">
        <v>20</v>
      </c>
      <c r="K307">
        <v>3</v>
      </c>
      <c r="L307">
        <v>41</v>
      </c>
    </row>
    <row r="308" spans="1:12" x14ac:dyDescent="0.4">
      <c r="A308" t="s">
        <v>352</v>
      </c>
      <c r="B308" t="s">
        <v>33</v>
      </c>
      <c r="C308" t="s">
        <v>77</v>
      </c>
      <c r="D308" t="s">
        <v>35</v>
      </c>
      <c r="E308" t="s">
        <v>36</v>
      </c>
      <c r="F308">
        <f t="shared" ca="1" si="4"/>
        <v>0.16038635724132022</v>
      </c>
      <c r="G308">
        <v>450</v>
      </c>
      <c r="H308">
        <v>6</v>
      </c>
      <c r="I308">
        <v>0.5</v>
      </c>
      <c r="J308">
        <v>25</v>
      </c>
      <c r="K308">
        <v>2</v>
      </c>
      <c r="L308">
        <v>19</v>
      </c>
    </row>
    <row r="309" spans="1:12" x14ac:dyDescent="0.4">
      <c r="A309" t="s">
        <v>353</v>
      </c>
      <c r="B309" t="s">
        <v>38</v>
      </c>
      <c r="C309" t="s">
        <v>52</v>
      </c>
      <c r="D309" t="s">
        <v>41</v>
      </c>
      <c r="E309" t="s">
        <v>36</v>
      </c>
      <c r="F309">
        <f t="shared" ca="1" si="4"/>
        <v>0.43703946800523641</v>
      </c>
      <c r="G309">
        <v>150</v>
      </c>
      <c r="H309">
        <v>5</v>
      </c>
      <c r="I309">
        <v>0.25</v>
      </c>
      <c r="J309">
        <v>150</v>
      </c>
      <c r="K309">
        <v>4</v>
      </c>
      <c r="L309">
        <v>54</v>
      </c>
    </row>
    <row r="310" spans="1:12" x14ac:dyDescent="0.4">
      <c r="A310" t="s">
        <v>354</v>
      </c>
      <c r="B310" t="s">
        <v>38</v>
      </c>
      <c r="C310" t="s">
        <v>34</v>
      </c>
      <c r="D310" t="s">
        <v>41</v>
      </c>
      <c r="E310" t="s">
        <v>36</v>
      </c>
      <c r="F310">
        <f t="shared" ca="1" si="4"/>
        <v>0.51474284438321871</v>
      </c>
      <c r="G310">
        <v>160</v>
      </c>
      <c r="H310">
        <v>2</v>
      </c>
      <c r="I310">
        <v>1</v>
      </c>
      <c r="J310">
        <v>25</v>
      </c>
      <c r="K310">
        <v>3</v>
      </c>
      <c r="L310">
        <v>49</v>
      </c>
    </row>
    <row r="311" spans="1:12" x14ac:dyDescent="0.4">
      <c r="A311" t="s">
        <v>355</v>
      </c>
      <c r="B311" t="s">
        <v>38</v>
      </c>
      <c r="C311" t="s">
        <v>34</v>
      </c>
      <c r="D311" t="s">
        <v>35</v>
      </c>
      <c r="E311" t="s">
        <v>36</v>
      </c>
      <c r="F311">
        <f t="shared" ca="1" si="4"/>
        <v>0.68897528063508984</v>
      </c>
      <c r="G311">
        <v>360</v>
      </c>
      <c r="H311">
        <v>4</v>
      </c>
      <c r="I311">
        <v>0.25</v>
      </c>
      <c r="J311">
        <v>40</v>
      </c>
      <c r="K311">
        <v>2</v>
      </c>
      <c r="L311">
        <v>25</v>
      </c>
    </row>
    <row r="312" spans="1:12" x14ac:dyDescent="0.4">
      <c r="A312" t="s">
        <v>356</v>
      </c>
      <c r="B312" t="s">
        <v>38</v>
      </c>
      <c r="C312" t="s">
        <v>34</v>
      </c>
      <c r="D312" t="s">
        <v>35</v>
      </c>
      <c r="E312" t="s">
        <v>36</v>
      </c>
      <c r="F312">
        <f t="shared" ca="1" si="4"/>
        <v>0.18633618595931023</v>
      </c>
      <c r="G312">
        <v>100</v>
      </c>
      <c r="H312">
        <v>3</v>
      </c>
      <c r="I312">
        <v>0.25</v>
      </c>
      <c r="J312">
        <v>100</v>
      </c>
      <c r="K312">
        <v>2</v>
      </c>
      <c r="L312">
        <v>58</v>
      </c>
    </row>
    <row r="313" spans="1:12" x14ac:dyDescent="0.4">
      <c r="A313" t="s">
        <v>357</v>
      </c>
      <c r="B313" t="s">
        <v>38</v>
      </c>
      <c r="C313" t="s">
        <v>34</v>
      </c>
      <c r="D313" t="s">
        <v>35</v>
      </c>
      <c r="E313" t="s">
        <v>36</v>
      </c>
      <c r="F313">
        <f t="shared" ca="1" si="4"/>
        <v>0.25435094870766173</v>
      </c>
      <c r="G313">
        <v>50</v>
      </c>
      <c r="H313">
        <v>3</v>
      </c>
      <c r="I313">
        <v>0.5</v>
      </c>
      <c r="J313">
        <v>20</v>
      </c>
      <c r="K313">
        <v>2</v>
      </c>
      <c r="L313">
        <v>64</v>
      </c>
    </row>
    <row r="314" spans="1:12" x14ac:dyDescent="0.4">
      <c r="A314" t="s">
        <v>358</v>
      </c>
      <c r="B314" t="s">
        <v>38</v>
      </c>
      <c r="C314" t="s">
        <v>34</v>
      </c>
      <c r="D314" t="s">
        <v>39</v>
      </c>
      <c r="E314" t="s">
        <v>36</v>
      </c>
      <c r="F314">
        <f t="shared" ca="1" si="4"/>
        <v>0.42340463099741066</v>
      </c>
      <c r="G314">
        <v>90</v>
      </c>
      <c r="H314">
        <v>2</v>
      </c>
      <c r="I314">
        <v>0.5</v>
      </c>
      <c r="J314">
        <v>50</v>
      </c>
      <c r="K314">
        <v>4</v>
      </c>
      <c r="L314">
        <v>49</v>
      </c>
    </row>
    <row r="315" spans="1:12" x14ac:dyDescent="0.4">
      <c r="A315" t="s">
        <v>359</v>
      </c>
      <c r="B315" t="s">
        <v>33</v>
      </c>
      <c r="C315" t="s">
        <v>34</v>
      </c>
      <c r="D315" t="s">
        <v>35</v>
      </c>
      <c r="E315" t="s">
        <v>36</v>
      </c>
      <c r="F315">
        <f t="shared" ca="1" si="4"/>
        <v>0.79952314821046033</v>
      </c>
      <c r="G315">
        <v>100</v>
      </c>
      <c r="H315">
        <v>2</v>
      </c>
      <c r="I315">
        <v>1</v>
      </c>
      <c r="J315">
        <v>100</v>
      </c>
      <c r="K315">
        <v>2</v>
      </c>
      <c r="L315">
        <v>63</v>
      </c>
    </row>
    <row r="316" spans="1:12" x14ac:dyDescent="0.4">
      <c r="A316" t="s">
        <v>360</v>
      </c>
      <c r="B316" t="s">
        <v>38</v>
      </c>
      <c r="C316" t="s">
        <v>52</v>
      </c>
      <c r="D316" t="s">
        <v>35</v>
      </c>
      <c r="E316" t="s">
        <v>36</v>
      </c>
      <c r="F316">
        <f t="shared" ca="1" si="4"/>
        <v>0.30176456382857886</v>
      </c>
      <c r="G316">
        <v>450</v>
      </c>
      <c r="H316">
        <v>7</v>
      </c>
      <c r="I316">
        <v>1.5</v>
      </c>
      <c r="J316">
        <v>30</v>
      </c>
      <c r="K316">
        <v>2</v>
      </c>
      <c r="L316">
        <v>35</v>
      </c>
    </row>
    <row r="317" spans="1:12" x14ac:dyDescent="0.4">
      <c r="A317" t="s">
        <v>361</v>
      </c>
      <c r="B317" t="s">
        <v>38</v>
      </c>
      <c r="C317" t="s">
        <v>34</v>
      </c>
      <c r="D317" t="s">
        <v>39</v>
      </c>
      <c r="E317" t="s">
        <v>36</v>
      </c>
      <c r="F317">
        <f t="shared" ca="1" si="4"/>
        <v>0.56151741578229275</v>
      </c>
      <c r="G317">
        <v>250</v>
      </c>
      <c r="H317">
        <v>5</v>
      </c>
      <c r="I317">
        <v>0.25</v>
      </c>
      <c r="J317">
        <v>40</v>
      </c>
      <c r="K317">
        <v>2</v>
      </c>
      <c r="L317">
        <v>42</v>
      </c>
    </row>
    <row r="318" spans="1:12" x14ac:dyDescent="0.4">
      <c r="A318" t="s">
        <v>362</v>
      </c>
      <c r="B318" t="s">
        <v>38</v>
      </c>
      <c r="C318" t="s">
        <v>52</v>
      </c>
      <c r="D318" t="s">
        <v>35</v>
      </c>
      <c r="E318" t="s">
        <v>36</v>
      </c>
      <c r="F318">
        <f t="shared" ca="1" si="4"/>
        <v>0.54440559286221535</v>
      </c>
      <c r="G318">
        <v>450</v>
      </c>
      <c r="H318">
        <v>5</v>
      </c>
      <c r="I318">
        <v>0.5</v>
      </c>
      <c r="J318">
        <v>25</v>
      </c>
      <c r="K318">
        <v>2</v>
      </c>
      <c r="L318">
        <v>32</v>
      </c>
    </row>
    <row r="319" spans="1:12" x14ac:dyDescent="0.4">
      <c r="A319" t="s">
        <v>363</v>
      </c>
      <c r="B319" t="s">
        <v>38</v>
      </c>
      <c r="C319" t="s">
        <v>34</v>
      </c>
      <c r="D319" t="s">
        <v>35</v>
      </c>
      <c r="E319" t="s">
        <v>36</v>
      </c>
      <c r="F319">
        <f t="shared" ca="1" si="4"/>
        <v>0.46272395952854961</v>
      </c>
      <c r="G319">
        <v>270</v>
      </c>
      <c r="H319">
        <v>3</v>
      </c>
      <c r="I319">
        <v>1</v>
      </c>
      <c r="J319">
        <v>25</v>
      </c>
      <c r="K319">
        <v>2</v>
      </c>
      <c r="L319">
        <v>41</v>
      </c>
    </row>
    <row r="320" spans="1:12" x14ac:dyDescent="0.4">
      <c r="A320" t="s">
        <v>364</v>
      </c>
      <c r="B320" t="s">
        <v>38</v>
      </c>
      <c r="C320" t="s">
        <v>34</v>
      </c>
      <c r="D320" t="s">
        <v>35</v>
      </c>
      <c r="E320" t="s">
        <v>42</v>
      </c>
      <c r="F320">
        <f t="shared" ca="1" si="4"/>
        <v>2.0476223767132318E-2</v>
      </c>
      <c r="G320">
        <v>90</v>
      </c>
      <c r="H320">
        <v>5</v>
      </c>
      <c r="I320">
        <v>2</v>
      </c>
      <c r="J320">
        <v>35</v>
      </c>
      <c r="K320">
        <v>3</v>
      </c>
      <c r="L320">
        <v>79</v>
      </c>
    </row>
    <row r="321" spans="1:12" x14ac:dyDescent="0.4">
      <c r="A321" t="s">
        <v>365</v>
      </c>
      <c r="B321" t="s">
        <v>33</v>
      </c>
      <c r="C321" t="s">
        <v>52</v>
      </c>
      <c r="D321" t="s">
        <v>35</v>
      </c>
      <c r="E321" t="s">
        <v>36</v>
      </c>
      <c r="F321">
        <f t="shared" ca="1" si="4"/>
        <v>0.62876338587711533</v>
      </c>
      <c r="G321">
        <v>400</v>
      </c>
      <c r="H321">
        <v>2</v>
      </c>
      <c r="I321">
        <v>0.3</v>
      </c>
      <c r="J321">
        <v>50</v>
      </c>
      <c r="K321">
        <v>2</v>
      </c>
      <c r="L321">
        <v>29</v>
      </c>
    </row>
    <row r="322" spans="1:12" x14ac:dyDescent="0.4">
      <c r="A322" t="s">
        <v>366</v>
      </c>
      <c r="B322" t="s">
        <v>33</v>
      </c>
      <c r="C322" t="s">
        <v>34</v>
      </c>
      <c r="D322" t="s">
        <v>41</v>
      </c>
      <c r="E322" t="s">
        <v>36</v>
      </c>
      <c r="F322">
        <f t="shared" ref="F322:F385" ca="1" si="5">RAND()</f>
        <v>0.52322131493379354</v>
      </c>
      <c r="G322">
        <v>160</v>
      </c>
      <c r="H322">
        <v>6</v>
      </c>
      <c r="I322">
        <v>0.5</v>
      </c>
      <c r="J322">
        <v>50</v>
      </c>
      <c r="K322">
        <v>3</v>
      </c>
      <c r="L322">
        <v>51</v>
      </c>
    </row>
    <row r="323" spans="1:12" x14ac:dyDescent="0.4">
      <c r="A323" t="s">
        <v>367</v>
      </c>
      <c r="B323" t="s">
        <v>38</v>
      </c>
      <c r="C323" t="s">
        <v>34</v>
      </c>
      <c r="D323" t="s">
        <v>41</v>
      </c>
      <c r="E323" t="s">
        <v>42</v>
      </c>
      <c r="F323">
        <f t="shared" ca="1" si="5"/>
        <v>0.41452180929259941</v>
      </c>
      <c r="G323">
        <v>200</v>
      </c>
      <c r="H323">
        <v>3</v>
      </c>
      <c r="I323">
        <v>1</v>
      </c>
      <c r="J323">
        <v>20</v>
      </c>
      <c r="K323">
        <v>3</v>
      </c>
      <c r="L323">
        <v>40</v>
      </c>
    </row>
    <row r="324" spans="1:12" x14ac:dyDescent="0.4">
      <c r="A324" t="s">
        <v>368</v>
      </c>
      <c r="B324" t="s">
        <v>33</v>
      </c>
      <c r="C324" t="s">
        <v>52</v>
      </c>
      <c r="D324" t="s">
        <v>35</v>
      </c>
      <c r="E324" t="s">
        <v>36</v>
      </c>
      <c r="F324">
        <f t="shared" ca="1" si="5"/>
        <v>0.22636946547463399</v>
      </c>
      <c r="G324">
        <v>330</v>
      </c>
      <c r="H324">
        <v>3</v>
      </c>
      <c r="I324">
        <v>2</v>
      </c>
      <c r="J324">
        <v>100</v>
      </c>
      <c r="K324">
        <v>2</v>
      </c>
      <c r="L324">
        <v>44</v>
      </c>
    </row>
    <row r="325" spans="1:12" x14ac:dyDescent="0.4">
      <c r="A325" t="s">
        <v>369</v>
      </c>
      <c r="B325" t="s">
        <v>33</v>
      </c>
      <c r="C325" t="s">
        <v>34</v>
      </c>
      <c r="D325" t="s">
        <v>35</v>
      </c>
      <c r="E325" t="s">
        <v>42</v>
      </c>
      <c r="F325">
        <f t="shared" ca="1" si="5"/>
        <v>0.96362663733761267</v>
      </c>
      <c r="G325">
        <v>330</v>
      </c>
      <c r="H325">
        <v>3</v>
      </c>
      <c r="I325">
        <v>2</v>
      </c>
      <c r="J325">
        <v>100</v>
      </c>
      <c r="K325">
        <v>2</v>
      </c>
      <c r="L325">
        <v>42</v>
      </c>
    </row>
    <row r="326" spans="1:12" x14ac:dyDescent="0.4">
      <c r="A326" t="s">
        <v>370</v>
      </c>
      <c r="B326" t="s">
        <v>33</v>
      </c>
      <c r="C326" t="s">
        <v>34</v>
      </c>
      <c r="D326" t="s">
        <v>39</v>
      </c>
      <c r="E326" t="s">
        <v>36</v>
      </c>
      <c r="F326">
        <f t="shared" ca="1" si="5"/>
        <v>0.94177295145895989</v>
      </c>
      <c r="G326">
        <v>360</v>
      </c>
      <c r="H326">
        <v>1</v>
      </c>
      <c r="I326">
        <v>2</v>
      </c>
      <c r="J326">
        <v>50</v>
      </c>
      <c r="K326">
        <v>4</v>
      </c>
      <c r="L326">
        <v>25</v>
      </c>
    </row>
    <row r="327" spans="1:12" x14ac:dyDescent="0.4">
      <c r="A327" t="s">
        <v>371</v>
      </c>
      <c r="B327" t="s">
        <v>38</v>
      </c>
      <c r="C327" t="s">
        <v>34</v>
      </c>
      <c r="D327" t="s">
        <v>39</v>
      </c>
      <c r="E327" t="s">
        <v>42</v>
      </c>
      <c r="F327">
        <f t="shared" ca="1" si="5"/>
        <v>0.55639449797647111</v>
      </c>
      <c r="G327">
        <v>78</v>
      </c>
      <c r="H327">
        <v>3</v>
      </c>
      <c r="I327">
        <v>0.5</v>
      </c>
      <c r="J327">
        <v>90</v>
      </c>
      <c r="K327">
        <v>2</v>
      </c>
      <c r="L327">
        <v>62</v>
      </c>
    </row>
    <row r="328" spans="1:12" x14ac:dyDescent="0.4">
      <c r="A328" t="s">
        <v>372</v>
      </c>
      <c r="B328" t="s">
        <v>38</v>
      </c>
      <c r="C328" t="s">
        <v>34</v>
      </c>
      <c r="D328" t="s">
        <v>35</v>
      </c>
      <c r="E328" t="s">
        <v>36</v>
      </c>
      <c r="F328">
        <f t="shared" ca="1" si="5"/>
        <v>7.7082213312696046E-2</v>
      </c>
      <c r="G328">
        <v>100</v>
      </c>
      <c r="H328">
        <v>8</v>
      </c>
      <c r="I328">
        <v>0.25</v>
      </c>
      <c r="J328">
        <v>50</v>
      </c>
      <c r="K328">
        <v>2</v>
      </c>
      <c r="L328">
        <v>58</v>
      </c>
    </row>
    <row r="329" spans="1:12" x14ac:dyDescent="0.4">
      <c r="A329" t="s">
        <v>373</v>
      </c>
      <c r="B329" t="s">
        <v>38</v>
      </c>
      <c r="C329" t="s">
        <v>34</v>
      </c>
      <c r="D329" t="s">
        <v>98</v>
      </c>
      <c r="E329" t="s">
        <v>36</v>
      </c>
      <c r="F329">
        <f t="shared" ca="1" si="5"/>
        <v>0.81763976050383991</v>
      </c>
      <c r="G329">
        <v>270</v>
      </c>
      <c r="H329">
        <v>2</v>
      </c>
      <c r="I329">
        <v>0.75</v>
      </c>
      <c r="J329">
        <v>25</v>
      </c>
      <c r="K329">
        <v>4</v>
      </c>
      <c r="L329">
        <v>40</v>
      </c>
    </row>
    <row r="330" spans="1:12" x14ac:dyDescent="0.4">
      <c r="A330" t="s">
        <v>374</v>
      </c>
      <c r="B330" t="s">
        <v>33</v>
      </c>
      <c r="C330" t="s">
        <v>34</v>
      </c>
      <c r="D330" t="s">
        <v>39</v>
      </c>
      <c r="E330" t="s">
        <v>42</v>
      </c>
      <c r="F330">
        <f t="shared" ca="1" si="5"/>
        <v>0.15228099966735287</v>
      </c>
      <c r="G330">
        <v>200</v>
      </c>
      <c r="H330">
        <v>3</v>
      </c>
      <c r="I330">
        <v>1</v>
      </c>
      <c r="J330">
        <v>40</v>
      </c>
      <c r="K330">
        <v>4</v>
      </c>
      <c r="L330">
        <v>45</v>
      </c>
    </row>
    <row r="331" spans="1:12" x14ac:dyDescent="0.4">
      <c r="A331" t="s">
        <v>375</v>
      </c>
      <c r="B331" t="s">
        <v>33</v>
      </c>
      <c r="C331" t="s">
        <v>52</v>
      </c>
      <c r="D331" t="s">
        <v>35</v>
      </c>
      <c r="E331" t="s">
        <v>36</v>
      </c>
      <c r="F331">
        <f t="shared" ca="1" si="5"/>
        <v>4.3072627311585121E-2</v>
      </c>
      <c r="G331">
        <v>200</v>
      </c>
      <c r="H331">
        <v>3</v>
      </c>
      <c r="I331">
        <v>1</v>
      </c>
      <c r="J331">
        <v>50</v>
      </c>
      <c r="K331">
        <v>2</v>
      </c>
      <c r="L331">
        <v>41</v>
      </c>
    </row>
    <row r="332" spans="1:12" x14ac:dyDescent="0.4">
      <c r="A332" t="s">
        <v>376</v>
      </c>
      <c r="B332" t="s">
        <v>33</v>
      </c>
      <c r="C332" t="s">
        <v>52</v>
      </c>
      <c r="D332" t="s">
        <v>41</v>
      </c>
      <c r="E332" t="s">
        <v>36</v>
      </c>
      <c r="F332">
        <f t="shared" ca="1" si="5"/>
        <v>0.55737202474420622</v>
      </c>
      <c r="G332">
        <v>360</v>
      </c>
      <c r="H332">
        <v>4</v>
      </c>
      <c r="I332">
        <v>1</v>
      </c>
      <c r="J332">
        <v>50</v>
      </c>
      <c r="K332">
        <v>2</v>
      </c>
      <c r="L332">
        <v>27</v>
      </c>
    </row>
    <row r="333" spans="1:12" x14ac:dyDescent="0.4">
      <c r="A333" t="s">
        <v>377</v>
      </c>
      <c r="B333" t="s">
        <v>33</v>
      </c>
      <c r="C333" t="s">
        <v>34</v>
      </c>
      <c r="D333" t="s">
        <v>39</v>
      </c>
      <c r="E333" t="s">
        <v>42</v>
      </c>
      <c r="F333">
        <f t="shared" ca="1" si="5"/>
        <v>0.6456504427101164</v>
      </c>
      <c r="G333">
        <v>270</v>
      </c>
      <c r="H333">
        <v>3</v>
      </c>
      <c r="I333">
        <v>1</v>
      </c>
      <c r="J333">
        <v>30</v>
      </c>
      <c r="K333">
        <v>2</v>
      </c>
      <c r="L333">
        <v>37</v>
      </c>
    </row>
    <row r="334" spans="1:12" x14ac:dyDescent="0.4">
      <c r="A334" t="s">
        <v>378</v>
      </c>
      <c r="B334" t="s">
        <v>38</v>
      </c>
      <c r="C334" t="s">
        <v>34</v>
      </c>
      <c r="D334" t="s">
        <v>39</v>
      </c>
      <c r="E334" t="s">
        <v>36</v>
      </c>
      <c r="F334">
        <f t="shared" ca="1" si="5"/>
        <v>0.47823581627073652</v>
      </c>
      <c r="G334">
        <v>110</v>
      </c>
      <c r="H334">
        <v>4</v>
      </c>
      <c r="I334">
        <v>1.5</v>
      </c>
      <c r="J334">
        <v>50</v>
      </c>
      <c r="K334">
        <v>3</v>
      </c>
      <c r="L334">
        <v>55</v>
      </c>
    </row>
    <row r="335" spans="1:12" x14ac:dyDescent="0.4">
      <c r="A335" t="s">
        <v>379</v>
      </c>
      <c r="B335" t="s">
        <v>33</v>
      </c>
      <c r="C335" t="s">
        <v>52</v>
      </c>
      <c r="D335" t="s">
        <v>35</v>
      </c>
      <c r="E335" t="s">
        <v>36</v>
      </c>
      <c r="F335">
        <f t="shared" ca="1" si="5"/>
        <v>0.84575712449319884</v>
      </c>
      <c r="G335">
        <v>450</v>
      </c>
      <c r="H335">
        <v>1</v>
      </c>
      <c r="I335">
        <v>0.5</v>
      </c>
      <c r="J335">
        <v>20</v>
      </c>
      <c r="K335">
        <v>3</v>
      </c>
      <c r="L335">
        <v>29</v>
      </c>
    </row>
    <row r="336" spans="1:12" x14ac:dyDescent="0.4">
      <c r="A336" t="s">
        <v>380</v>
      </c>
      <c r="B336" t="s">
        <v>38</v>
      </c>
      <c r="C336" t="s">
        <v>52</v>
      </c>
      <c r="D336" t="s">
        <v>39</v>
      </c>
      <c r="E336" t="s">
        <v>36</v>
      </c>
      <c r="F336">
        <f t="shared" ca="1" si="5"/>
        <v>0.96485203627869298</v>
      </c>
      <c r="G336">
        <v>270</v>
      </c>
      <c r="H336">
        <v>6</v>
      </c>
      <c r="I336">
        <v>0.5</v>
      </c>
      <c r="J336">
        <v>25</v>
      </c>
      <c r="K336">
        <v>2</v>
      </c>
      <c r="L336">
        <v>36</v>
      </c>
    </row>
    <row r="337" spans="1:12" x14ac:dyDescent="0.4">
      <c r="A337" t="s">
        <v>381</v>
      </c>
      <c r="B337" t="s">
        <v>33</v>
      </c>
      <c r="C337" t="s">
        <v>52</v>
      </c>
      <c r="D337" t="s">
        <v>39</v>
      </c>
      <c r="E337" t="s">
        <v>42</v>
      </c>
      <c r="F337">
        <f t="shared" ca="1" si="5"/>
        <v>0.20724935548029633</v>
      </c>
      <c r="G337">
        <v>120</v>
      </c>
      <c r="H337">
        <v>3</v>
      </c>
      <c r="I337">
        <v>0.25</v>
      </c>
      <c r="J337">
        <v>42</v>
      </c>
      <c r="K337">
        <v>4</v>
      </c>
      <c r="L337">
        <v>50</v>
      </c>
    </row>
    <row r="338" spans="1:12" x14ac:dyDescent="0.4">
      <c r="A338" t="s">
        <v>382</v>
      </c>
      <c r="B338" t="s">
        <v>38</v>
      </c>
      <c r="C338" t="s">
        <v>34</v>
      </c>
      <c r="D338" t="s">
        <v>50</v>
      </c>
      <c r="E338" t="s">
        <v>36</v>
      </c>
      <c r="F338">
        <f t="shared" ca="1" si="5"/>
        <v>0.23282567733204862</v>
      </c>
      <c r="G338">
        <v>50</v>
      </c>
      <c r="H338">
        <v>3</v>
      </c>
      <c r="I338">
        <v>0.5</v>
      </c>
      <c r="J338">
        <v>90</v>
      </c>
      <c r="K338">
        <v>6</v>
      </c>
      <c r="L338">
        <v>60</v>
      </c>
    </row>
    <row r="339" spans="1:12" x14ac:dyDescent="0.4">
      <c r="A339" t="s">
        <v>383</v>
      </c>
      <c r="B339" t="s">
        <v>38</v>
      </c>
      <c r="C339" t="s">
        <v>34</v>
      </c>
      <c r="D339" t="s">
        <v>35</v>
      </c>
      <c r="E339" t="s">
        <v>36</v>
      </c>
      <c r="F339">
        <f t="shared" ca="1" si="5"/>
        <v>0.81888683874033152</v>
      </c>
      <c r="G339">
        <v>250</v>
      </c>
      <c r="H339">
        <v>5</v>
      </c>
      <c r="I339">
        <v>1</v>
      </c>
      <c r="J339">
        <v>50</v>
      </c>
      <c r="K339">
        <v>3</v>
      </c>
      <c r="L339">
        <v>37</v>
      </c>
    </row>
    <row r="340" spans="1:12" x14ac:dyDescent="0.4">
      <c r="A340" t="s">
        <v>384</v>
      </c>
      <c r="B340" t="s">
        <v>38</v>
      </c>
      <c r="C340" t="s">
        <v>52</v>
      </c>
      <c r="D340" t="s">
        <v>39</v>
      </c>
      <c r="E340" t="s">
        <v>36</v>
      </c>
      <c r="F340">
        <f t="shared" ca="1" si="5"/>
        <v>1.0582448379195308E-2</v>
      </c>
      <c r="G340">
        <v>160</v>
      </c>
      <c r="H340">
        <v>5</v>
      </c>
      <c r="I340">
        <v>0.5</v>
      </c>
      <c r="J340">
        <v>20</v>
      </c>
      <c r="K340">
        <v>2</v>
      </c>
      <c r="L340">
        <v>51</v>
      </c>
    </row>
    <row r="341" spans="1:12" x14ac:dyDescent="0.4">
      <c r="A341" t="s">
        <v>385</v>
      </c>
      <c r="B341" t="s">
        <v>38</v>
      </c>
      <c r="C341" t="s">
        <v>34</v>
      </c>
      <c r="D341" t="s">
        <v>35</v>
      </c>
      <c r="E341" t="s">
        <v>36</v>
      </c>
      <c r="F341">
        <f t="shared" ca="1" si="5"/>
        <v>0.35103174600143794</v>
      </c>
      <c r="G341">
        <v>180</v>
      </c>
      <c r="H341">
        <v>5</v>
      </c>
      <c r="I341">
        <v>0.5</v>
      </c>
      <c r="J341">
        <v>90</v>
      </c>
      <c r="K341">
        <v>2</v>
      </c>
      <c r="L341">
        <v>49</v>
      </c>
    </row>
    <row r="342" spans="1:12" x14ac:dyDescent="0.4">
      <c r="A342" t="s">
        <v>386</v>
      </c>
      <c r="B342" t="s">
        <v>38</v>
      </c>
      <c r="C342" t="s">
        <v>100</v>
      </c>
      <c r="D342" t="s">
        <v>35</v>
      </c>
      <c r="E342" t="s">
        <v>36</v>
      </c>
      <c r="F342">
        <f t="shared" ca="1" si="5"/>
        <v>0.23813432937560008</v>
      </c>
      <c r="G342">
        <v>90</v>
      </c>
      <c r="H342">
        <v>5</v>
      </c>
      <c r="I342">
        <v>0.25</v>
      </c>
      <c r="J342">
        <v>50</v>
      </c>
      <c r="K342">
        <v>3</v>
      </c>
      <c r="L342">
        <v>55</v>
      </c>
    </row>
    <row r="343" spans="1:12" x14ac:dyDescent="0.4">
      <c r="A343" t="s">
        <v>387</v>
      </c>
      <c r="B343" t="s">
        <v>38</v>
      </c>
      <c r="C343" t="s">
        <v>34</v>
      </c>
      <c r="D343" t="s">
        <v>39</v>
      </c>
      <c r="E343" t="s">
        <v>36</v>
      </c>
      <c r="F343">
        <f t="shared" ca="1" si="5"/>
        <v>0.72463111493651644</v>
      </c>
      <c r="G343">
        <v>180</v>
      </c>
      <c r="H343">
        <v>4</v>
      </c>
      <c r="I343">
        <v>0.5</v>
      </c>
      <c r="J343">
        <v>250</v>
      </c>
      <c r="K343">
        <v>5</v>
      </c>
      <c r="L343">
        <v>49</v>
      </c>
    </row>
    <row r="344" spans="1:12" x14ac:dyDescent="0.4">
      <c r="A344" t="s">
        <v>388</v>
      </c>
      <c r="B344" t="s">
        <v>38</v>
      </c>
      <c r="C344" t="s">
        <v>34</v>
      </c>
      <c r="D344" t="s">
        <v>35</v>
      </c>
      <c r="E344" t="s">
        <v>42</v>
      </c>
      <c r="F344">
        <f t="shared" ca="1" si="5"/>
        <v>0.1591654479841339</v>
      </c>
      <c r="G344">
        <v>360</v>
      </c>
      <c r="H344">
        <v>4</v>
      </c>
      <c r="I344">
        <v>0.5</v>
      </c>
      <c r="J344">
        <v>150</v>
      </c>
      <c r="K344">
        <v>2</v>
      </c>
      <c r="L344">
        <v>42</v>
      </c>
    </row>
    <row r="345" spans="1:12" x14ac:dyDescent="0.4">
      <c r="A345" t="s">
        <v>389</v>
      </c>
      <c r="B345" t="s">
        <v>38</v>
      </c>
      <c r="C345" t="s">
        <v>52</v>
      </c>
      <c r="D345" t="s">
        <v>41</v>
      </c>
      <c r="E345" t="s">
        <v>42</v>
      </c>
      <c r="F345">
        <f t="shared" ca="1" si="5"/>
        <v>0.79076157063470998</v>
      </c>
      <c r="G345">
        <v>200</v>
      </c>
      <c r="H345">
        <v>2</v>
      </c>
      <c r="I345">
        <v>1</v>
      </c>
      <c r="J345">
        <v>150</v>
      </c>
      <c r="K345">
        <v>3</v>
      </c>
      <c r="L345">
        <v>39</v>
      </c>
    </row>
    <row r="346" spans="1:12" x14ac:dyDescent="0.4">
      <c r="A346" t="s">
        <v>390</v>
      </c>
      <c r="B346" t="s">
        <v>38</v>
      </c>
      <c r="C346" t="s">
        <v>34</v>
      </c>
      <c r="D346" t="s">
        <v>41</v>
      </c>
      <c r="E346" t="s">
        <v>42</v>
      </c>
      <c r="F346">
        <f t="shared" ca="1" si="5"/>
        <v>0.88393445599775078</v>
      </c>
      <c r="G346">
        <v>270</v>
      </c>
      <c r="H346">
        <v>3</v>
      </c>
      <c r="I346">
        <v>1.5</v>
      </c>
      <c r="J346">
        <v>25</v>
      </c>
      <c r="K346">
        <v>2</v>
      </c>
      <c r="L346">
        <v>36</v>
      </c>
    </row>
    <row r="347" spans="1:12" x14ac:dyDescent="0.4">
      <c r="A347" t="s">
        <v>391</v>
      </c>
      <c r="B347" t="s">
        <v>38</v>
      </c>
      <c r="C347" t="s">
        <v>34</v>
      </c>
      <c r="D347" t="s">
        <v>98</v>
      </c>
      <c r="E347" t="s">
        <v>36</v>
      </c>
      <c r="F347">
        <f t="shared" ca="1" si="5"/>
        <v>3.3220269735941832E-3</v>
      </c>
      <c r="G347">
        <v>150</v>
      </c>
      <c r="H347">
        <v>5</v>
      </c>
      <c r="I347">
        <v>0.75</v>
      </c>
      <c r="J347">
        <v>20</v>
      </c>
      <c r="K347">
        <v>2</v>
      </c>
      <c r="L347">
        <v>47</v>
      </c>
    </row>
    <row r="348" spans="1:12" x14ac:dyDescent="0.4">
      <c r="A348" t="s">
        <v>392</v>
      </c>
      <c r="B348" t="s">
        <v>38</v>
      </c>
      <c r="C348" t="s">
        <v>100</v>
      </c>
      <c r="D348" t="s">
        <v>41</v>
      </c>
      <c r="E348" t="s">
        <v>42</v>
      </c>
      <c r="F348">
        <f t="shared" ca="1" si="5"/>
        <v>9.9748206041712084E-3</v>
      </c>
      <c r="G348">
        <v>160</v>
      </c>
      <c r="H348">
        <v>5</v>
      </c>
      <c r="I348">
        <v>0.75</v>
      </c>
      <c r="J348">
        <v>25</v>
      </c>
      <c r="K348">
        <v>2</v>
      </c>
      <c r="L348">
        <v>48</v>
      </c>
    </row>
    <row r="349" spans="1:12" x14ac:dyDescent="0.4">
      <c r="A349" t="s">
        <v>393</v>
      </c>
      <c r="B349" t="s">
        <v>38</v>
      </c>
      <c r="C349" t="s">
        <v>52</v>
      </c>
      <c r="D349" t="s">
        <v>35</v>
      </c>
      <c r="E349" t="s">
        <v>36</v>
      </c>
      <c r="F349">
        <f t="shared" ca="1" si="5"/>
        <v>0.24588347699373525</v>
      </c>
      <c r="G349">
        <v>150</v>
      </c>
      <c r="H349">
        <v>4</v>
      </c>
      <c r="I349">
        <v>0.75</v>
      </c>
      <c r="J349">
        <v>20</v>
      </c>
      <c r="K349">
        <v>4</v>
      </c>
      <c r="L349">
        <v>53</v>
      </c>
    </row>
    <row r="350" spans="1:12" x14ac:dyDescent="0.4">
      <c r="A350" t="s">
        <v>394</v>
      </c>
      <c r="B350" t="s">
        <v>38</v>
      </c>
      <c r="C350" t="s">
        <v>34</v>
      </c>
      <c r="D350" t="s">
        <v>35</v>
      </c>
      <c r="E350" t="s">
        <v>36</v>
      </c>
      <c r="F350">
        <f t="shared" ca="1" si="5"/>
        <v>0.60324392139134442</v>
      </c>
      <c r="G350">
        <v>180</v>
      </c>
      <c r="H350">
        <v>6</v>
      </c>
      <c r="I350">
        <v>1</v>
      </c>
      <c r="J350">
        <v>50</v>
      </c>
      <c r="K350">
        <v>3</v>
      </c>
      <c r="L350">
        <v>48</v>
      </c>
    </row>
    <row r="351" spans="1:12" x14ac:dyDescent="0.4">
      <c r="A351" t="s">
        <v>395</v>
      </c>
      <c r="B351" t="s">
        <v>33</v>
      </c>
      <c r="C351" t="s">
        <v>52</v>
      </c>
      <c r="D351" t="s">
        <v>35</v>
      </c>
      <c r="E351" t="s">
        <v>36</v>
      </c>
      <c r="F351">
        <f t="shared" ca="1" si="5"/>
        <v>0.63080183632406917</v>
      </c>
      <c r="G351">
        <v>100</v>
      </c>
      <c r="H351">
        <v>4</v>
      </c>
      <c r="I351">
        <v>0.5</v>
      </c>
      <c r="J351">
        <v>150</v>
      </c>
      <c r="K351">
        <v>5</v>
      </c>
      <c r="L351">
        <v>60</v>
      </c>
    </row>
    <row r="352" spans="1:12" x14ac:dyDescent="0.4">
      <c r="A352" t="s">
        <v>396</v>
      </c>
      <c r="B352" t="s">
        <v>38</v>
      </c>
      <c r="C352" t="s">
        <v>34</v>
      </c>
      <c r="D352" t="s">
        <v>35</v>
      </c>
      <c r="E352" t="s">
        <v>36</v>
      </c>
      <c r="F352">
        <f t="shared" ca="1" si="5"/>
        <v>0.88820901554068532</v>
      </c>
      <c r="G352">
        <v>90</v>
      </c>
      <c r="H352">
        <v>5</v>
      </c>
      <c r="I352">
        <v>0.25</v>
      </c>
      <c r="J352">
        <v>20</v>
      </c>
      <c r="K352">
        <v>2</v>
      </c>
      <c r="L352">
        <v>62</v>
      </c>
    </row>
    <row r="353" spans="1:12" x14ac:dyDescent="0.4">
      <c r="A353" t="s">
        <v>397</v>
      </c>
      <c r="B353" t="s">
        <v>38</v>
      </c>
      <c r="C353" t="s">
        <v>52</v>
      </c>
      <c r="D353" t="s">
        <v>41</v>
      </c>
      <c r="E353" t="s">
        <v>42</v>
      </c>
      <c r="F353">
        <f t="shared" ca="1" si="5"/>
        <v>0.91275426281056593</v>
      </c>
      <c r="G353">
        <v>180</v>
      </c>
      <c r="H353">
        <v>2</v>
      </c>
      <c r="I353">
        <v>1</v>
      </c>
      <c r="J353">
        <v>100</v>
      </c>
      <c r="K353">
        <v>2</v>
      </c>
      <c r="L353">
        <v>53</v>
      </c>
    </row>
    <row r="354" spans="1:12" x14ac:dyDescent="0.4">
      <c r="A354" t="s">
        <v>398</v>
      </c>
      <c r="B354" t="s">
        <v>38</v>
      </c>
      <c r="C354" t="s">
        <v>34</v>
      </c>
      <c r="D354" t="s">
        <v>41</v>
      </c>
      <c r="E354" t="s">
        <v>36</v>
      </c>
      <c r="F354">
        <f t="shared" ca="1" si="5"/>
        <v>0.25426598396844935</v>
      </c>
      <c r="G354">
        <v>270</v>
      </c>
      <c r="H354">
        <v>3</v>
      </c>
      <c r="I354">
        <v>1</v>
      </c>
      <c r="J354">
        <v>100</v>
      </c>
      <c r="K354">
        <v>2</v>
      </c>
      <c r="L354">
        <v>36</v>
      </c>
    </row>
    <row r="355" spans="1:12" x14ac:dyDescent="0.4">
      <c r="A355" t="s">
        <v>399</v>
      </c>
      <c r="B355" t="s">
        <v>38</v>
      </c>
      <c r="C355" t="s">
        <v>34</v>
      </c>
      <c r="D355" t="s">
        <v>39</v>
      </c>
      <c r="E355" t="s">
        <v>36</v>
      </c>
      <c r="F355">
        <f t="shared" ca="1" si="5"/>
        <v>0.8201866843737281</v>
      </c>
      <c r="G355">
        <v>270</v>
      </c>
      <c r="H355">
        <v>5</v>
      </c>
      <c r="I355">
        <v>0.5</v>
      </c>
      <c r="J355">
        <v>20</v>
      </c>
      <c r="K355">
        <v>4</v>
      </c>
      <c r="L355">
        <v>44</v>
      </c>
    </row>
    <row r="356" spans="1:12" x14ac:dyDescent="0.4">
      <c r="A356" t="s">
        <v>400</v>
      </c>
      <c r="B356" t="s">
        <v>38</v>
      </c>
      <c r="C356" t="s">
        <v>34</v>
      </c>
      <c r="D356" t="s">
        <v>98</v>
      </c>
      <c r="E356" t="s">
        <v>36</v>
      </c>
      <c r="F356">
        <f t="shared" ca="1" si="5"/>
        <v>0.71367980462553249</v>
      </c>
      <c r="G356">
        <v>70</v>
      </c>
      <c r="H356">
        <v>5</v>
      </c>
      <c r="I356">
        <v>1.5</v>
      </c>
      <c r="J356">
        <v>50</v>
      </c>
      <c r="K356">
        <v>2</v>
      </c>
      <c r="L356">
        <v>60</v>
      </c>
    </row>
    <row r="357" spans="1:12" x14ac:dyDescent="0.4">
      <c r="A357" t="s">
        <v>401</v>
      </c>
      <c r="B357" t="s">
        <v>38</v>
      </c>
      <c r="C357" t="s">
        <v>34</v>
      </c>
      <c r="D357" t="s">
        <v>39</v>
      </c>
      <c r="E357" t="s">
        <v>42</v>
      </c>
      <c r="F357">
        <f t="shared" ca="1" si="5"/>
        <v>0.24492878168211629</v>
      </c>
      <c r="G357">
        <v>360</v>
      </c>
      <c r="H357">
        <v>3</v>
      </c>
      <c r="I357">
        <v>1.5</v>
      </c>
      <c r="J357">
        <v>150</v>
      </c>
      <c r="K357">
        <v>2</v>
      </c>
      <c r="L357">
        <v>40</v>
      </c>
    </row>
    <row r="358" spans="1:12" x14ac:dyDescent="0.4">
      <c r="A358" t="s">
        <v>402</v>
      </c>
      <c r="B358" t="s">
        <v>38</v>
      </c>
      <c r="C358" t="s">
        <v>34</v>
      </c>
      <c r="D358" t="s">
        <v>35</v>
      </c>
      <c r="E358" t="s">
        <v>36</v>
      </c>
      <c r="F358">
        <f t="shared" ca="1" si="5"/>
        <v>0.32005088802869786</v>
      </c>
      <c r="G358">
        <v>330</v>
      </c>
      <c r="H358">
        <v>5</v>
      </c>
      <c r="I358">
        <v>1.5</v>
      </c>
      <c r="J358">
        <v>100</v>
      </c>
      <c r="K358">
        <v>2</v>
      </c>
      <c r="L358">
        <v>37</v>
      </c>
    </row>
    <row r="359" spans="1:12" x14ac:dyDescent="0.4">
      <c r="A359" t="s">
        <v>403</v>
      </c>
      <c r="B359" t="s">
        <v>38</v>
      </c>
      <c r="C359" t="s">
        <v>52</v>
      </c>
      <c r="D359" t="s">
        <v>98</v>
      </c>
      <c r="E359" t="s">
        <v>42</v>
      </c>
      <c r="F359">
        <f t="shared" ca="1" si="5"/>
        <v>0.77233809349033933</v>
      </c>
      <c r="G359">
        <v>50</v>
      </c>
      <c r="H359">
        <v>5</v>
      </c>
      <c r="I359">
        <v>0.5</v>
      </c>
      <c r="J359">
        <v>31</v>
      </c>
      <c r="K359">
        <v>2</v>
      </c>
      <c r="L359">
        <v>58</v>
      </c>
    </row>
    <row r="360" spans="1:12" x14ac:dyDescent="0.4">
      <c r="A360" t="s">
        <v>404</v>
      </c>
      <c r="B360" t="s">
        <v>33</v>
      </c>
      <c r="C360" t="s">
        <v>34</v>
      </c>
      <c r="D360" t="s">
        <v>39</v>
      </c>
      <c r="E360" t="s">
        <v>42</v>
      </c>
      <c r="F360">
        <f t="shared" ca="1" si="5"/>
        <v>0.15647859791552177</v>
      </c>
      <c r="G360">
        <v>180</v>
      </c>
      <c r="H360">
        <v>5</v>
      </c>
      <c r="I360">
        <v>0.5</v>
      </c>
      <c r="J360">
        <v>40</v>
      </c>
      <c r="K360">
        <v>4</v>
      </c>
      <c r="L360">
        <v>47</v>
      </c>
    </row>
    <row r="361" spans="1:12" x14ac:dyDescent="0.4">
      <c r="A361" t="s">
        <v>405</v>
      </c>
      <c r="B361" t="s">
        <v>38</v>
      </c>
      <c r="C361" t="s">
        <v>34</v>
      </c>
      <c r="D361" t="s">
        <v>39</v>
      </c>
      <c r="E361" t="s">
        <v>42</v>
      </c>
      <c r="F361">
        <f t="shared" ca="1" si="5"/>
        <v>0.35156316458856007</v>
      </c>
      <c r="G361">
        <v>150</v>
      </c>
      <c r="H361">
        <v>2</v>
      </c>
      <c r="I361">
        <v>1</v>
      </c>
      <c r="J361">
        <v>20</v>
      </c>
      <c r="K361">
        <v>4</v>
      </c>
      <c r="L361">
        <v>55</v>
      </c>
    </row>
    <row r="362" spans="1:12" x14ac:dyDescent="0.4">
      <c r="A362" t="s">
        <v>406</v>
      </c>
      <c r="B362" t="s">
        <v>38</v>
      </c>
      <c r="C362" t="s">
        <v>34</v>
      </c>
      <c r="D362" t="s">
        <v>39</v>
      </c>
      <c r="E362" t="s">
        <v>42</v>
      </c>
      <c r="F362">
        <f t="shared" ca="1" si="5"/>
        <v>6.1821682518953147E-2</v>
      </c>
      <c r="G362">
        <v>100</v>
      </c>
      <c r="H362">
        <v>3</v>
      </c>
      <c r="I362">
        <v>0.25</v>
      </c>
      <c r="J362">
        <v>30</v>
      </c>
      <c r="K362">
        <v>3</v>
      </c>
      <c r="L362">
        <v>64</v>
      </c>
    </row>
    <row r="363" spans="1:12" x14ac:dyDescent="0.4">
      <c r="A363" t="s">
        <v>407</v>
      </c>
      <c r="B363" t="s">
        <v>38</v>
      </c>
      <c r="C363" t="s">
        <v>34</v>
      </c>
      <c r="D363" t="s">
        <v>35</v>
      </c>
      <c r="E363" t="s">
        <v>36</v>
      </c>
      <c r="F363">
        <f t="shared" ca="1" si="5"/>
        <v>0.76286550017686583</v>
      </c>
      <c r="G363">
        <v>50</v>
      </c>
      <c r="H363">
        <v>1</v>
      </c>
      <c r="I363">
        <v>0.5</v>
      </c>
      <c r="J363">
        <v>40</v>
      </c>
      <c r="K363">
        <v>3</v>
      </c>
      <c r="L363">
        <v>58</v>
      </c>
    </row>
    <row r="364" spans="1:12" x14ac:dyDescent="0.4">
      <c r="A364" t="s">
        <v>408</v>
      </c>
      <c r="B364" t="s">
        <v>38</v>
      </c>
      <c r="C364" t="s">
        <v>52</v>
      </c>
      <c r="D364" t="s">
        <v>41</v>
      </c>
      <c r="E364" t="s">
        <v>42</v>
      </c>
      <c r="F364">
        <f t="shared" ca="1" si="5"/>
        <v>5.9766106296535559E-2</v>
      </c>
      <c r="G364">
        <v>270</v>
      </c>
      <c r="H364">
        <v>2</v>
      </c>
      <c r="I364">
        <v>0.25</v>
      </c>
      <c r="J364">
        <v>250</v>
      </c>
      <c r="K364">
        <v>4</v>
      </c>
      <c r="L364">
        <v>43</v>
      </c>
    </row>
    <row r="365" spans="1:12" x14ac:dyDescent="0.4">
      <c r="A365" t="s">
        <v>409</v>
      </c>
      <c r="B365" t="s">
        <v>38</v>
      </c>
      <c r="C365" t="s">
        <v>52</v>
      </c>
      <c r="D365" t="s">
        <v>35</v>
      </c>
      <c r="E365" t="s">
        <v>36</v>
      </c>
      <c r="F365">
        <f t="shared" ca="1" si="5"/>
        <v>0.85815488498900705</v>
      </c>
      <c r="G365">
        <v>270</v>
      </c>
      <c r="H365">
        <v>3</v>
      </c>
      <c r="I365">
        <v>0.5</v>
      </c>
      <c r="J365">
        <v>50</v>
      </c>
      <c r="K365">
        <v>2</v>
      </c>
      <c r="L365">
        <v>40</v>
      </c>
    </row>
    <row r="366" spans="1:12" x14ac:dyDescent="0.4">
      <c r="A366" t="s">
        <v>410</v>
      </c>
      <c r="B366" t="s">
        <v>38</v>
      </c>
      <c r="C366" t="s">
        <v>34</v>
      </c>
      <c r="D366" t="s">
        <v>39</v>
      </c>
      <c r="E366" t="s">
        <v>42</v>
      </c>
      <c r="F366">
        <f t="shared" ca="1" si="5"/>
        <v>0.70219810679186834</v>
      </c>
      <c r="G366">
        <v>180</v>
      </c>
      <c r="H366">
        <v>3</v>
      </c>
      <c r="I366">
        <v>0.25</v>
      </c>
      <c r="J366">
        <v>23</v>
      </c>
      <c r="K366">
        <v>2</v>
      </c>
      <c r="L366">
        <v>44</v>
      </c>
    </row>
    <row r="367" spans="1:12" x14ac:dyDescent="0.4">
      <c r="A367" t="s">
        <v>411</v>
      </c>
      <c r="B367" t="s">
        <v>38</v>
      </c>
      <c r="C367" t="s">
        <v>34</v>
      </c>
      <c r="D367" t="s">
        <v>35</v>
      </c>
      <c r="E367" t="s">
        <v>36</v>
      </c>
      <c r="F367">
        <f t="shared" ca="1" si="5"/>
        <v>4.4836622013404437E-3</v>
      </c>
      <c r="G367">
        <v>90</v>
      </c>
      <c r="H367">
        <v>2</v>
      </c>
      <c r="I367">
        <v>0.25</v>
      </c>
      <c r="J367">
        <v>25</v>
      </c>
      <c r="K367">
        <v>3</v>
      </c>
      <c r="L367">
        <v>75</v>
      </c>
    </row>
    <row r="368" spans="1:12" x14ac:dyDescent="0.4">
      <c r="A368" t="s">
        <v>412</v>
      </c>
      <c r="B368" t="s">
        <v>33</v>
      </c>
      <c r="C368" t="s">
        <v>34</v>
      </c>
      <c r="D368" t="s">
        <v>41</v>
      </c>
      <c r="E368" t="s">
        <v>42</v>
      </c>
      <c r="F368">
        <f t="shared" ca="1" si="5"/>
        <v>0.20043908610451233</v>
      </c>
      <c r="G368">
        <v>80</v>
      </c>
      <c r="H368">
        <v>3</v>
      </c>
      <c r="I368">
        <v>0.5</v>
      </c>
      <c r="J368">
        <v>30</v>
      </c>
      <c r="K368">
        <v>2</v>
      </c>
      <c r="L368">
        <v>58</v>
      </c>
    </row>
    <row r="369" spans="1:12" x14ac:dyDescent="0.4">
      <c r="A369" t="s">
        <v>413</v>
      </c>
      <c r="B369" t="s">
        <v>38</v>
      </c>
      <c r="C369" t="s">
        <v>52</v>
      </c>
      <c r="D369" t="s">
        <v>39</v>
      </c>
      <c r="E369" t="s">
        <v>42</v>
      </c>
      <c r="F369">
        <f t="shared" ca="1" si="5"/>
        <v>0.59280776020882686</v>
      </c>
      <c r="G369">
        <v>100</v>
      </c>
      <c r="H369">
        <v>4</v>
      </c>
      <c r="I369">
        <v>0.75</v>
      </c>
      <c r="J369">
        <v>25</v>
      </c>
      <c r="K369">
        <v>3</v>
      </c>
      <c r="L369">
        <v>54</v>
      </c>
    </row>
    <row r="370" spans="1:12" x14ac:dyDescent="0.4">
      <c r="A370" t="s">
        <v>414</v>
      </c>
      <c r="B370" t="s">
        <v>38</v>
      </c>
      <c r="C370" t="s">
        <v>45</v>
      </c>
      <c r="D370" t="s">
        <v>41</v>
      </c>
      <c r="E370" t="s">
        <v>36</v>
      </c>
      <c r="F370">
        <f t="shared" ca="1" si="5"/>
        <v>0.95144372620401518</v>
      </c>
      <c r="G370">
        <v>180</v>
      </c>
      <c r="H370">
        <v>6</v>
      </c>
      <c r="I370">
        <v>0.25</v>
      </c>
      <c r="J370">
        <v>150</v>
      </c>
      <c r="K370">
        <v>2</v>
      </c>
      <c r="L370">
        <v>48</v>
      </c>
    </row>
    <row r="371" spans="1:12" x14ac:dyDescent="0.4">
      <c r="A371" t="s">
        <v>415</v>
      </c>
      <c r="B371" t="s">
        <v>38</v>
      </c>
      <c r="C371" t="s">
        <v>34</v>
      </c>
      <c r="D371" t="s">
        <v>39</v>
      </c>
      <c r="E371" t="s">
        <v>36</v>
      </c>
      <c r="F371">
        <f t="shared" ca="1" si="5"/>
        <v>0.44949194026705153</v>
      </c>
      <c r="G371">
        <v>180</v>
      </c>
      <c r="H371">
        <v>4</v>
      </c>
      <c r="I371">
        <v>1</v>
      </c>
      <c r="J371">
        <v>50</v>
      </c>
      <c r="K371">
        <v>3</v>
      </c>
      <c r="L371">
        <v>50</v>
      </c>
    </row>
    <row r="372" spans="1:12" x14ac:dyDescent="0.4">
      <c r="A372" t="s">
        <v>416</v>
      </c>
      <c r="B372" t="s">
        <v>38</v>
      </c>
      <c r="C372" t="s">
        <v>34</v>
      </c>
      <c r="D372" t="s">
        <v>50</v>
      </c>
      <c r="E372" t="s">
        <v>42</v>
      </c>
      <c r="F372">
        <f t="shared" ca="1" si="5"/>
        <v>0.72539106291517363</v>
      </c>
      <c r="G372">
        <v>270</v>
      </c>
      <c r="H372">
        <v>3</v>
      </c>
      <c r="I372">
        <v>0.5</v>
      </c>
      <c r="J372">
        <v>30</v>
      </c>
      <c r="K372">
        <v>2</v>
      </c>
      <c r="L372">
        <v>43</v>
      </c>
    </row>
    <row r="373" spans="1:12" x14ac:dyDescent="0.4">
      <c r="A373" t="s">
        <v>417</v>
      </c>
      <c r="B373" t="s">
        <v>33</v>
      </c>
      <c r="C373" t="s">
        <v>52</v>
      </c>
      <c r="D373" t="s">
        <v>41</v>
      </c>
      <c r="E373" t="s">
        <v>36</v>
      </c>
      <c r="F373">
        <f t="shared" ca="1" si="5"/>
        <v>2.9111813736385939E-2</v>
      </c>
      <c r="G373">
        <v>450</v>
      </c>
      <c r="H373">
        <v>4</v>
      </c>
      <c r="I373">
        <v>1</v>
      </c>
      <c r="J373">
        <v>50</v>
      </c>
      <c r="K373">
        <v>2</v>
      </c>
      <c r="L373">
        <v>23</v>
      </c>
    </row>
    <row r="374" spans="1:12" x14ac:dyDescent="0.4">
      <c r="A374" t="s">
        <v>418</v>
      </c>
      <c r="B374" t="s">
        <v>38</v>
      </c>
      <c r="C374" t="s">
        <v>34</v>
      </c>
      <c r="D374" t="s">
        <v>35</v>
      </c>
      <c r="E374" t="s">
        <v>36</v>
      </c>
      <c r="F374">
        <f t="shared" ca="1" si="5"/>
        <v>0.26773917718773876</v>
      </c>
      <c r="G374">
        <v>100</v>
      </c>
      <c r="H374">
        <v>3</v>
      </c>
      <c r="I374">
        <v>1</v>
      </c>
      <c r="J374">
        <v>100</v>
      </c>
      <c r="K374">
        <v>2</v>
      </c>
      <c r="L374">
        <v>60</v>
      </c>
    </row>
    <row r="375" spans="1:12" x14ac:dyDescent="0.4">
      <c r="A375" t="s">
        <v>419</v>
      </c>
      <c r="B375" t="s">
        <v>38</v>
      </c>
      <c r="C375" t="s">
        <v>34</v>
      </c>
      <c r="D375" t="s">
        <v>35</v>
      </c>
      <c r="E375" t="s">
        <v>36</v>
      </c>
      <c r="F375">
        <f t="shared" ca="1" si="5"/>
        <v>0.6860660495931471</v>
      </c>
      <c r="G375">
        <v>360</v>
      </c>
      <c r="H375">
        <v>5</v>
      </c>
      <c r="I375">
        <v>0.75</v>
      </c>
      <c r="J375">
        <v>100</v>
      </c>
      <c r="K375">
        <v>2</v>
      </c>
      <c r="L375">
        <v>44</v>
      </c>
    </row>
    <row r="376" spans="1:12" x14ac:dyDescent="0.4">
      <c r="A376" t="s">
        <v>420</v>
      </c>
      <c r="B376" t="s">
        <v>38</v>
      </c>
      <c r="C376" t="s">
        <v>52</v>
      </c>
      <c r="D376" t="s">
        <v>35</v>
      </c>
      <c r="E376" t="s">
        <v>36</v>
      </c>
      <c r="F376">
        <f t="shared" ca="1" si="5"/>
        <v>0.77345410331194131</v>
      </c>
      <c r="G376">
        <v>360</v>
      </c>
      <c r="H376">
        <v>7</v>
      </c>
      <c r="I376">
        <v>1</v>
      </c>
      <c r="J376">
        <v>30</v>
      </c>
      <c r="K376">
        <v>3</v>
      </c>
      <c r="L376">
        <v>35</v>
      </c>
    </row>
    <row r="377" spans="1:12" x14ac:dyDescent="0.4">
      <c r="A377" t="s">
        <v>421</v>
      </c>
      <c r="B377" t="s">
        <v>33</v>
      </c>
      <c r="C377" t="s">
        <v>100</v>
      </c>
      <c r="D377" t="s">
        <v>35</v>
      </c>
      <c r="E377" t="s">
        <v>36</v>
      </c>
      <c r="F377">
        <f t="shared" ca="1" si="5"/>
        <v>0.62407680270025978</v>
      </c>
      <c r="G377">
        <v>50</v>
      </c>
      <c r="H377">
        <v>1</v>
      </c>
      <c r="I377">
        <v>1</v>
      </c>
      <c r="J377">
        <v>50</v>
      </c>
      <c r="K377">
        <v>2</v>
      </c>
      <c r="L377">
        <v>56</v>
      </c>
    </row>
    <row r="378" spans="1:12" x14ac:dyDescent="0.4">
      <c r="A378" t="s">
        <v>422</v>
      </c>
      <c r="B378" t="s">
        <v>38</v>
      </c>
      <c r="C378" t="s">
        <v>52</v>
      </c>
      <c r="D378" t="s">
        <v>39</v>
      </c>
      <c r="E378" t="s">
        <v>36</v>
      </c>
      <c r="F378">
        <f t="shared" ca="1" si="5"/>
        <v>0.54495949717531433</v>
      </c>
      <c r="G378">
        <v>250</v>
      </c>
      <c r="H378">
        <v>5</v>
      </c>
      <c r="I378">
        <v>0.25</v>
      </c>
      <c r="J378">
        <v>150</v>
      </c>
      <c r="K378">
        <v>3</v>
      </c>
      <c r="L378">
        <v>40</v>
      </c>
    </row>
    <row r="379" spans="1:12" x14ac:dyDescent="0.4">
      <c r="A379" t="s">
        <v>423</v>
      </c>
      <c r="B379" t="s">
        <v>38</v>
      </c>
      <c r="C379" t="s">
        <v>34</v>
      </c>
      <c r="D379" t="s">
        <v>41</v>
      </c>
      <c r="E379" t="s">
        <v>36</v>
      </c>
      <c r="F379">
        <f t="shared" ca="1" si="5"/>
        <v>0.63014283809067084</v>
      </c>
      <c r="G379">
        <v>360</v>
      </c>
      <c r="H379">
        <v>2</v>
      </c>
      <c r="I379">
        <v>1</v>
      </c>
      <c r="J379">
        <v>50</v>
      </c>
      <c r="K379">
        <v>2</v>
      </c>
      <c r="L379">
        <v>33</v>
      </c>
    </row>
    <row r="380" spans="1:12" x14ac:dyDescent="0.4">
      <c r="A380" t="s">
        <v>424</v>
      </c>
      <c r="B380" t="s">
        <v>38</v>
      </c>
      <c r="C380" t="s">
        <v>34</v>
      </c>
      <c r="D380" t="s">
        <v>35</v>
      </c>
      <c r="E380" t="s">
        <v>36</v>
      </c>
      <c r="F380">
        <f t="shared" ca="1" si="5"/>
        <v>0.59967136616014949</v>
      </c>
      <c r="G380">
        <v>540</v>
      </c>
      <c r="H380">
        <v>6</v>
      </c>
      <c r="I380">
        <v>0.25</v>
      </c>
      <c r="J380">
        <v>70</v>
      </c>
      <c r="K380">
        <v>2</v>
      </c>
      <c r="L380">
        <v>29</v>
      </c>
    </row>
    <row r="381" spans="1:12" x14ac:dyDescent="0.4">
      <c r="A381" t="s">
        <v>425</v>
      </c>
      <c r="B381" t="s">
        <v>38</v>
      </c>
      <c r="C381" t="s">
        <v>100</v>
      </c>
      <c r="D381" t="s">
        <v>39</v>
      </c>
      <c r="E381" t="s">
        <v>42</v>
      </c>
      <c r="F381">
        <f t="shared" ca="1" si="5"/>
        <v>0.64496260841925701</v>
      </c>
      <c r="G381">
        <v>100</v>
      </c>
      <c r="H381">
        <v>5</v>
      </c>
      <c r="I381">
        <v>0.5</v>
      </c>
      <c r="J381">
        <v>20</v>
      </c>
      <c r="K381">
        <v>3</v>
      </c>
      <c r="L381">
        <v>50</v>
      </c>
    </row>
    <row r="382" spans="1:12" x14ac:dyDescent="0.4">
      <c r="A382" t="s">
        <v>426</v>
      </c>
      <c r="B382" t="s">
        <v>33</v>
      </c>
      <c r="C382" t="s">
        <v>52</v>
      </c>
      <c r="D382" t="s">
        <v>41</v>
      </c>
      <c r="E382" t="s">
        <v>36</v>
      </c>
      <c r="F382">
        <f t="shared" ca="1" si="5"/>
        <v>0.32288724453964557</v>
      </c>
      <c r="G382">
        <v>360</v>
      </c>
      <c r="H382">
        <v>8</v>
      </c>
      <c r="I382">
        <v>1</v>
      </c>
      <c r="J382">
        <v>25</v>
      </c>
      <c r="K382">
        <v>2</v>
      </c>
      <c r="L382">
        <v>28</v>
      </c>
    </row>
    <row r="383" spans="1:12" x14ac:dyDescent="0.4">
      <c r="A383" t="s">
        <v>427</v>
      </c>
      <c r="B383" t="s">
        <v>38</v>
      </c>
      <c r="C383" t="s">
        <v>34</v>
      </c>
      <c r="D383" t="s">
        <v>41</v>
      </c>
      <c r="E383" t="s">
        <v>36</v>
      </c>
      <c r="F383">
        <f t="shared" ca="1" si="5"/>
        <v>0.13028913329713954</v>
      </c>
      <c r="G383">
        <v>360</v>
      </c>
      <c r="H383">
        <v>4</v>
      </c>
      <c r="I383">
        <v>1</v>
      </c>
      <c r="J383">
        <v>50</v>
      </c>
      <c r="K383">
        <v>3</v>
      </c>
      <c r="L383">
        <v>21</v>
      </c>
    </row>
    <row r="384" spans="1:12" x14ac:dyDescent="0.4">
      <c r="A384" t="s">
        <v>428</v>
      </c>
      <c r="B384" t="s">
        <v>38</v>
      </c>
      <c r="C384" t="s">
        <v>52</v>
      </c>
      <c r="D384" t="s">
        <v>35</v>
      </c>
      <c r="E384" t="s">
        <v>36</v>
      </c>
      <c r="F384">
        <f t="shared" ca="1" si="5"/>
        <v>0.33294538886953784</v>
      </c>
      <c r="G384">
        <v>330</v>
      </c>
      <c r="H384">
        <v>6</v>
      </c>
      <c r="I384">
        <v>1.5</v>
      </c>
      <c r="J384">
        <v>30</v>
      </c>
      <c r="K384">
        <v>2</v>
      </c>
      <c r="L384">
        <v>37</v>
      </c>
    </row>
    <row r="385" spans="1:12" x14ac:dyDescent="0.4">
      <c r="A385" t="s">
        <v>429</v>
      </c>
      <c r="B385" t="s">
        <v>38</v>
      </c>
      <c r="C385" t="s">
        <v>34</v>
      </c>
      <c r="D385" t="s">
        <v>39</v>
      </c>
      <c r="E385" t="s">
        <v>36</v>
      </c>
      <c r="F385">
        <f t="shared" ca="1" si="5"/>
        <v>0.46880101659040885</v>
      </c>
      <c r="G385">
        <v>180</v>
      </c>
      <c r="H385">
        <v>2</v>
      </c>
      <c r="I385">
        <v>1</v>
      </c>
      <c r="J385">
        <v>500</v>
      </c>
      <c r="K385">
        <v>2</v>
      </c>
      <c r="L385">
        <v>51</v>
      </c>
    </row>
    <row r="386" spans="1:12" x14ac:dyDescent="0.4">
      <c r="A386" t="s">
        <v>430</v>
      </c>
      <c r="B386" t="s">
        <v>38</v>
      </c>
      <c r="C386" t="s">
        <v>52</v>
      </c>
      <c r="D386" t="s">
        <v>35</v>
      </c>
      <c r="E386" t="s">
        <v>36</v>
      </c>
      <c r="F386">
        <f t="shared" ref="F386:F423" ca="1" si="6">RAND()</f>
        <v>0.70367859317675785</v>
      </c>
      <c r="G386">
        <v>150</v>
      </c>
      <c r="H386">
        <v>5</v>
      </c>
      <c r="I386">
        <v>0.75</v>
      </c>
      <c r="J386">
        <v>25</v>
      </c>
      <c r="K386">
        <v>3</v>
      </c>
      <c r="L386">
        <v>48</v>
      </c>
    </row>
    <row r="387" spans="1:12" x14ac:dyDescent="0.4">
      <c r="A387" t="s">
        <v>431</v>
      </c>
      <c r="B387" t="s">
        <v>38</v>
      </c>
      <c r="C387" t="s">
        <v>52</v>
      </c>
      <c r="D387" t="s">
        <v>39</v>
      </c>
      <c r="E387" t="s">
        <v>36</v>
      </c>
      <c r="F387">
        <f t="shared" ca="1" si="6"/>
        <v>0.51858102402937689</v>
      </c>
      <c r="G387">
        <v>150</v>
      </c>
      <c r="H387">
        <v>3</v>
      </c>
      <c r="I387">
        <v>1</v>
      </c>
      <c r="J387">
        <v>25</v>
      </c>
      <c r="K387">
        <v>3</v>
      </c>
      <c r="L387">
        <v>50</v>
      </c>
    </row>
    <row r="388" spans="1:12" x14ac:dyDescent="0.4">
      <c r="A388" t="s">
        <v>432</v>
      </c>
      <c r="B388" t="s">
        <v>38</v>
      </c>
      <c r="C388" t="s">
        <v>52</v>
      </c>
      <c r="D388" t="s">
        <v>39</v>
      </c>
      <c r="E388" t="s">
        <v>42</v>
      </c>
      <c r="F388">
        <f t="shared" ca="1" si="6"/>
        <v>0.9613880967005447</v>
      </c>
      <c r="G388">
        <v>250</v>
      </c>
      <c r="H388">
        <v>6</v>
      </c>
      <c r="I388">
        <v>1</v>
      </c>
      <c r="J388">
        <v>20</v>
      </c>
      <c r="K388">
        <v>2</v>
      </c>
      <c r="L388">
        <v>44</v>
      </c>
    </row>
    <row r="389" spans="1:12" x14ac:dyDescent="0.4">
      <c r="A389" t="s">
        <v>433</v>
      </c>
      <c r="B389" t="s">
        <v>33</v>
      </c>
      <c r="C389" t="s">
        <v>52</v>
      </c>
      <c r="D389" t="s">
        <v>35</v>
      </c>
      <c r="E389" t="s">
        <v>36</v>
      </c>
      <c r="F389">
        <f t="shared" ca="1" si="6"/>
        <v>0.19002853334003522</v>
      </c>
      <c r="G389">
        <v>270</v>
      </c>
      <c r="H389">
        <v>3</v>
      </c>
      <c r="I389">
        <v>1</v>
      </c>
      <c r="J389">
        <v>30</v>
      </c>
      <c r="K389">
        <v>2</v>
      </c>
      <c r="L389">
        <v>44</v>
      </c>
    </row>
    <row r="390" spans="1:12" x14ac:dyDescent="0.4">
      <c r="A390" t="s">
        <v>434</v>
      </c>
      <c r="B390" t="s">
        <v>38</v>
      </c>
      <c r="C390" t="s">
        <v>34</v>
      </c>
      <c r="D390" t="s">
        <v>98</v>
      </c>
      <c r="E390" t="s">
        <v>36</v>
      </c>
      <c r="F390">
        <f t="shared" ca="1" si="6"/>
        <v>0.63094071102372873</v>
      </c>
      <c r="G390">
        <v>180</v>
      </c>
      <c r="H390">
        <v>6</v>
      </c>
      <c r="I390">
        <v>0.75</v>
      </c>
      <c r="J390">
        <v>25</v>
      </c>
      <c r="K390">
        <v>4</v>
      </c>
      <c r="L390">
        <v>50</v>
      </c>
    </row>
    <row r="391" spans="1:12" x14ac:dyDescent="0.4">
      <c r="A391" t="s">
        <v>435</v>
      </c>
      <c r="B391" t="s">
        <v>38</v>
      </c>
      <c r="C391" t="s">
        <v>52</v>
      </c>
      <c r="D391" t="s">
        <v>41</v>
      </c>
      <c r="E391" t="s">
        <v>42</v>
      </c>
      <c r="F391">
        <f t="shared" ca="1" si="6"/>
        <v>0.28681811687828918</v>
      </c>
      <c r="G391">
        <v>270</v>
      </c>
      <c r="H391">
        <v>2</v>
      </c>
      <c r="I391">
        <v>1</v>
      </c>
      <c r="J391">
        <v>50</v>
      </c>
      <c r="K391">
        <v>2</v>
      </c>
      <c r="L391">
        <v>44</v>
      </c>
    </row>
    <row r="392" spans="1:12" x14ac:dyDescent="0.4">
      <c r="A392" t="s">
        <v>436</v>
      </c>
      <c r="B392" t="s">
        <v>38</v>
      </c>
      <c r="C392" t="s">
        <v>34</v>
      </c>
      <c r="D392" t="s">
        <v>35</v>
      </c>
      <c r="E392" t="s">
        <v>36</v>
      </c>
      <c r="F392">
        <f t="shared" ca="1" si="6"/>
        <v>0.14138445594398108</v>
      </c>
      <c r="G392">
        <v>90</v>
      </c>
      <c r="H392">
        <v>7</v>
      </c>
      <c r="I392">
        <v>0.5</v>
      </c>
      <c r="J392">
        <v>25</v>
      </c>
      <c r="K392">
        <v>2</v>
      </c>
      <c r="L392">
        <v>76</v>
      </c>
    </row>
    <row r="393" spans="1:12" x14ac:dyDescent="0.4">
      <c r="A393" t="s">
        <v>437</v>
      </c>
      <c r="B393" t="s">
        <v>38</v>
      </c>
      <c r="C393" t="s">
        <v>34</v>
      </c>
      <c r="D393" t="s">
        <v>35</v>
      </c>
      <c r="E393" t="s">
        <v>36</v>
      </c>
      <c r="F393">
        <f t="shared" ca="1" si="6"/>
        <v>0.8883667226099361</v>
      </c>
      <c r="G393">
        <v>135</v>
      </c>
      <c r="H393">
        <v>4</v>
      </c>
      <c r="I393">
        <v>2</v>
      </c>
      <c r="J393">
        <v>300</v>
      </c>
      <c r="K393">
        <v>2</v>
      </c>
      <c r="L393">
        <v>50</v>
      </c>
    </row>
    <row r="394" spans="1:12" x14ac:dyDescent="0.4">
      <c r="A394" t="s">
        <v>438</v>
      </c>
      <c r="B394" t="s">
        <v>38</v>
      </c>
      <c r="C394" t="s">
        <v>34</v>
      </c>
      <c r="D394" t="s">
        <v>35</v>
      </c>
      <c r="E394" t="s">
        <v>36</v>
      </c>
      <c r="F394">
        <f t="shared" ca="1" si="6"/>
        <v>0.95604552313160618</v>
      </c>
      <c r="G394">
        <v>270</v>
      </c>
      <c r="H394">
        <v>4</v>
      </c>
      <c r="I394">
        <v>0.5</v>
      </c>
      <c r="J394">
        <v>20</v>
      </c>
      <c r="K394">
        <v>4</v>
      </c>
      <c r="L394">
        <v>41</v>
      </c>
    </row>
    <row r="395" spans="1:12" x14ac:dyDescent="0.4">
      <c r="A395" t="s">
        <v>439</v>
      </c>
      <c r="B395" t="s">
        <v>38</v>
      </c>
      <c r="C395" t="s">
        <v>52</v>
      </c>
      <c r="D395" t="s">
        <v>41</v>
      </c>
      <c r="E395" t="s">
        <v>36</v>
      </c>
      <c r="F395">
        <f t="shared" ca="1" si="6"/>
        <v>0.43225702050798676</v>
      </c>
      <c r="G395">
        <v>180</v>
      </c>
      <c r="H395">
        <v>5</v>
      </c>
      <c r="I395">
        <v>0.5</v>
      </c>
      <c r="J395">
        <v>30</v>
      </c>
      <c r="K395">
        <v>2</v>
      </c>
      <c r="L395">
        <v>51</v>
      </c>
    </row>
    <row r="396" spans="1:12" x14ac:dyDescent="0.4">
      <c r="A396" t="s">
        <v>440</v>
      </c>
      <c r="B396" t="s">
        <v>33</v>
      </c>
      <c r="C396" t="s">
        <v>45</v>
      </c>
      <c r="D396" t="s">
        <v>35</v>
      </c>
      <c r="E396" t="s">
        <v>42</v>
      </c>
      <c r="F396">
        <f t="shared" ca="1" si="6"/>
        <v>0.81080433567434529</v>
      </c>
      <c r="G396">
        <v>180</v>
      </c>
      <c r="H396">
        <v>3</v>
      </c>
      <c r="I396">
        <v>1</v>
      </c>
      <c r="J396">
        <v>50</v>
      </c>
      <c r="K396">
        <v>2</v>
      </c>
      <c r="L396">
        <v>52</v>
      </c>
    </row>
    <row r="397" spans="1:12" x14ac:dyDescent="0.4">
      <c r="A397" t="s">
        <v>441</v>
      </c>
      <c r="B397" t="s">
        <v>33</v>
      </c>
      <c r="C397" t="s">
        <v>52</v>
      </c>
      <c r="D397" t="s">
        <v>35</v>
      </c>
      <c r="E397" t="s">
        <v>36</v>
      </c>
      <c r="F397">
        <f t="shared" ca="1" si="6"/>
        <v>0.26265863484628782</v>
      </c>
      <c r="G397">
        <v>300</v>
      </c>
      <c r="H397">
        <v>9</v>
      </c>
      <c r="I397">
        <v>1.5</v>
      </c>
      <c r="J397">
        <v>30</v>
      </c>
      <c r="K397">
        <v>2</v>
      </c>
      <c r="L397">
        <v>36</v>
      </c>
    </row>
    <row r="398" spans="1:12" x14ac:dyDescent="0.4">
      <c r="A398" t="s">
        <v>442</v>
      </c>
      <c r="B398" t="s">
        <v>33</v>
      </c>
      <c r="C398" t="s">
        <v>34</v>
      </c>
      <c r="D398" t="s">
        <v>35</v>
      </c>
      <c r="E398" t="s">
        <v>36</v>
      </c>
      <c r="F398">
        <f t="shared" ca="1" si="6"/>
        <v>9.4226325049020621E-2</v>
      </c>
      <c r="G398">
        <v>540</v>
      </c>
      <c r="H398">
        <v>5</v>
      </c>
      <c r="I398">
        <v>0.5</v>
      </c>
      <c r="J398">
        <v>20</v>
      </c>
      <c r="K398">
        <v>3</v>
      </c>
      <c r="L398">
        <v>20</v>
      </c>
    </row>
    <row r="399" spans="1:12" x14ac:dyDescent="0.4">
      <c r="A399" t="s">
        <v>443</v>
      </c>
      <c r="B399" t="s">
        <v>38</v>
      </c>
      <c r="C399" t="s">
        <v>34</v>
      </c>
      <c r="D399" t="s">
        <v>35</v>
      </c>
      <c r="E399" t="s">
        <v>36</v>
      </c>
      <c r="F399">
        <f t="shared" ca="1" si="6"/>
        <v>0.53683072611611804</v>
      </c>
      <c r="G399">
        <v>270</v>
      </c>
      <c r="H399">
        <v>5</v>
      </c>
      <c r="I399">
        <v>1</v>
      </c>
      <c r="J399">
        <v>20</v>
      </c>
      <c r="K399">
        <v>2</v>
      </c>
      <c r="L399">
        <v>44</v>
      </c>
    </row>
    <row r="400" spans="1:12" x14ac:dyDescent="0.4">
      <c r="A400" t="s">
        <v>444</v>
      </c>
      <c r="B400" t="s">
        <v>38</v>
      </c>
      <c r="C400" t="s">
        <v>34</v>
      </c>
      <c r="D400" t="s">
        <v>35</v>
      </c>
      <c r="E400" t="s">
        <v>36</v>
      </c>
      <c r="F400">
        <f t="shared" ca="1" si="6"/>
        <v>0.56024467733312899</v>
      </c>
      <c r="G400">
        <v>450</v>
      </c>
      <c r="H400">
        <v>2</v>
      </c>
      <c r="I400">
        <v>0.5</v>
      </c>
      <c r="J400">
        <v>20</v>
      </c>
      <c r="K400">
        <v>3</v>
      </c>
      <c r="L400">
        <v>23</v>
      </c>
    </row>
    <row r="401" spans="1:12" x14ac:dyDescent="0.4">
      <c r="A401" t="s">
        <v>445</v>
      </c>
      <c r="B401" t="s">
        <v>33</v>
      </c>
      <c r="C401" t="s">
        <v>34</v>
      </c>
      <c r="D401" t="s">
        <v>39</v>
      </c>
      <c r="E401" t="s">
        <v>36</v>
      </c>
      <c r="F401">
        <f t="shared" ca="1" si="6"/>
        <v>0.9769594214845958</v>
      </c>
      <c r="G401">
        <v>50</v>
      </c>
      <c r="H401">
        <v>5</v>
      </c>
      <c r="I401">
        <v>0.5</v>
      </c>
      <c r="J401">
        <v>20</v>
      </c>
      <c r="K401">
        <v>3</v>
      </c>
      <c r="L401">
        <v>75</v>
      </c>
    </row>
    <row r="402" spans="1:12" x14ac:dyDescent="0.4">
      <c r="A402" t="s">
        <v>446</v>
      </c>
      <c r="B402" t="s">
        <v>38</v>
      </c>
      <c r="C402" t="s">
        <v>52</v>
      </c>
      <c r="D402" t="s">
        <v>41</v>
      </c>
      <c r="E402" t="s">
        <v>36</v>
      </c>
      <c r="F402">
        <f t="shared" ca="1" si="6"/>
        <v>0.104138387308224</v>
      </c>
      <c r="G402">
        <v>150</v>
      </c>
      <c r="H402">
        <v>5</v>
      </c>
      <c r="I402">
        <v>0.75</v>
      </c>
      <c r="J402">
        <v>20</v>
      </c>
      <c r="K402">
        <v>3</v>
      </c>
      <c r="L402">
        <v>55</v>
      </c>
    </row>
    <row r="403" spans="1:12" x14ac:dyDescent="0.4">
      <c r="A403" t="s">
        <v>447</v>
      </c>
      <c r="B403" t="s">
        <v>38</v>
      </c>
      <c r="C403" t="s">
        <v>34</v>
      </c>
      <c r="D403" t="s">
        <v>41</v>
      </c>
      <c r="E403" t="s">
        <v>36</v>
      </c>
      <c r="F403">
        <f t="shared" ca="1" si="6"/>
        <v>0.69338410618838575</v>
      </c>
      <c r="G403">
        <v>450</v>
      </c>
      <c r="H403">
        <v>4</v>
      </c>
      <c r="I403">
        <v>2</v>
      </c>
      <c r="J403">
        <v>50</v>
      </c>
      <c r="K403">
        <v>2</v>
      </c>
      <c r="L403">
        <v>21</v>
      </c>
    </row>
    <row r="404" spans="1:12" x14ac:dyDescent="0.4">
      <c r="A404" t="s">
        <v>448</v>
      </c>
      <c r="B404" t="s">
        <v>38</v>
      </c>
      <c r="C404" t="s">
        <v>52</v>
      </c>
      <c r="D404" t="s">
        <v>41</v>
      </c>
      <c r="E404" t="s">
        <v>36</v>
      </c>
      <c r="F404">
        <f t="shared" ca="1" si="6"/>
        <v>0.38573758311943063</v>
      </c>
      <c r="G404">
        <v>150</v>
      </c>
      <c r="H404">
        <v>3</v>
      </c>
      <c r="I404">
        <v>1</v>
      </c>
      <c r="J404">
        <v>50</v>
      </c>
      <c r="K404">
        <v>3</v>
      </c>
      <c r="L404">
        <v>50</v>
      </c>
    </row>
    <row r="405" spans="1:12" x14ac:dyDescent="0.4">
      <c r="A405" t="s">
        <v>449</v>
      </c>
      <c r="B405" t="s">
        <v>38</v>
      </c>
      <c r="C405" t="s">
        <v>34</v>
      </c>
      <c r="D405" t="s">
        <v>41</v>
      </c>
      <c r="E405" t="s">
        <v>42</v>
      </c>
      <c r="F405">
        <f t="shared" ca="1" si="6"/>
        <v>0.4042810905734322</v>
      </c>
      <c r="G405">
        <v>360</v>
      </c>
      <c r="H405">
        <v>6</v>
      </c>
      <c r="I405">
        <v>0.5</v>
      </c>
      <c r="J405">
        <v>220</v>
      </c>
      <c r="K405">
        <v>3</v>
      </c>
      <c r="L405">
        <v>36</v>
      </c>
    </row>
    <row r="406" spans="1:12" x14ac:dyDescent="0.4">
      <c r="A406" t="s">
        <v>450</v>
      </c>
      <c r="B406" t="s">
        <v>38</v>
      </c>
      <c r="C406" t="s">
        <v>34</v>
      </c>
      <c r="D406" t="s">
        <v>35</v>
      </c>
      <c r="E406" t="s">
        <v>36</v>
      </c>
      <c r="F406">
        <f t="shared" ca="1" si="6"/>
        <v>0.11901688963047674</v>
      </c>
      <c r="G406">
        <v>450</v>
      </c>
      <c r="H406">
        <v>4</v>
      </c>
      <c r="I406">
        <v>1</v>
      </c>
      <c r="J406">
        <v>30</v>
      </c>
      <c r="K406">
        <v>3</v>
      </c>
      <c r="L406">
        <v>30</v>
      </c>
    </row>
    <row r="407" spans="1:12" x14ac:dyDescent="0.4">
      <c r="A407" t="s">
        <v>451</v>
      </c>
      <c r="B407" t="s">
        <v>38</v>
      </c>
      <c r="C407" t="s">
        <v>34</v>
      </c>
      <c r="D407" t="s">
        <v>41</v>
      </c>
      <c r="E407" t="s">
        <v>36</v>
      </c>
      <c r="F407">
        <f t="shared" ca="1" si="6"/>
        <v>0.91349383289041552</v>
      </c>
      <c r="G407">
        <v>360</v>
      </c>
      <c r="H407">
        <v>5</v>
      </c>
      <c r="I407">
        <v>1</v>
      </c>
      <c r="J407">
        <v>25</v>
      </c>
      <c r="K407">
        <v>2</v>
      </c>
      <c r="L407">
        <v>35</v>
      </c>
    </row>
    <row r="408" spans="1:12" x14ac:dyDescent="0.4">
      <c r="A408" t="s">
        <v>452</v>
      </c>
      <c r="B408" t="s">
        <v>38</v>
      </c>
      <c r="C408" t="s">
        <v>34</v>
      </c>
      <c r="D408" t="s">
        <v>39</v>
      </c>
      <c r="E408" t="s">
        <v>36</v>
      </c>
      <c r="F408">
        <f t="shared" ca="1" si="6"/>
        <v>0.19650593551683337</v>
      </c>
      <c r="G408">
        <v>600</v>
      </c>
      <c r="H408">
        <v>9</v>
      </c>
      <c r="I408">
        <v>1</v>
      </c>
      <c r="J408">
        <v>50</v>
      </c>
      <c r="K408">
        <v>3</v>
      </c>
      <c r="L408">
        <v>22</v>
      </c>
    </row>
    <row r="409" spans="1:12" x14ac:dyDescent="0.4">
      <c r="A409" t="s">
        <v>453</v>
      </c>
      <c r="B409" t="s">
        <v>38</v>
      </c>
      <c r="C409" t="s">
        <v>52</v>
      </c>
      <c r="D409" t="s">
        <v>35</v>
      </c>
      <c r="E409" t="s">
        <v>36</v>
      </c>
      <c r="F409">
        <f t="shared" ca="1" si="6"/>
        <v>0.50149344949573949</v>
      </c>
      <c r="G409">
        <v>330</v>
      </c>
      <c r="H409">
        <v>3</v>
      </c>
      <c r="I409">
        <v>0.5</v>
      </c>
      <c r="J409">
        <v>400</v>
      </c>
      <c r="K409">
        <v>4</v>
      </c>
      <c r="L409">
        <v>36</v>
      </c>
    </row>
    <row r="410" spans="1:12" x14ac:dyDescent="0.4">
      <c r="A410" t="s">
        <v>454</v>
      </c>
      <c r="B410" t="s">
        <v>38</v>
      </c>
      <c r="C410" t="s">
        <v>34</v>
      </c>
      <c r="D410" t="s">
        <v>41</v>
      </c>
      <c r="E410" t="s">
        <v>42</v>
      </c>
      <c r="F410">
        <f t="shared" ca="1" si="6"/>
        <v>0.82175319778108624</v>
      </c>
      <c r="G410">
        <v>360</v>
      </c>
      <c r="H410">
        <v>5</v>
      </c>
      <c r="I410">
        <v>1</v>
      </c>
      <c r="J410">
        <v>50</v>
      </c>
      <c r="K410">
        <v>3</v>
      </c>
      <c r="L410">
        <v>27</v>
      </c>
    </row>
    <row r="411" spans="1:12" x14ac:dyDescent="0.4">
      <c r="A411" t="s">
        <v>455</v>
      </c>
      <c r="B411" t="s">
        <v>38</v>
      </c>
      <c r="C411" t="s">
        <v>34</v>
      </c>
      <c r="D411" t="s">
        <v>39</v>
      </c>
      <c r="E411" t="s">
        <v>36</v>
      </c>
      <c r="F411">
        <f t="shared" ca="1" si="6"/>
        <v>0.34016146997965957</v>
      </c>
      <c r="G411">
        <v>90</v>
      </c>
      <c r="H411">
        <v>3</v>
      </c>
      <c r="I411">
        <v>0.5</v>
      </c>
      <c r="J411">
        <v>70</v>
      </c>
      <c r="K411">
        <v>3</v>
      </c>
      <c r="L411">
        <v>63</v>
      </c>
    </row>
    <row r="412" spans="1:12" x14ac:dyDescent="0.4">
      <c r="A412" t="s">
        <v>456</v>
      </c>
      <c r="B412" t="s">
        <v>38</v>
      </c>
      <c r="C412" t="s">
        <v>34</v>
      </c>
      <c r="D412" t="s">
        <v>41</v>
      </c>
      <c r="E412" t="s">
        <v>36</v>
      </c>
      <c r="F412">
        <f t="shared" ca="1" si="6"/>
        <v>0.50879964308109904</v>
      </c>
      <c r="G412">
        <v>330</v>
      </c>
      <c r="H412">
        <v>3</v>
      </c>
      <c r="I412">
        <v>1.5</v>
      </c>
      <c r="J412">
        <v>100</v>
      </c>
      <c r="K412">
        <v>2</v>
      </c>
      <c r="L412">
        <v>39</v>
      </c>
    </row>
    <row r="413" spans="1:12" x14ac:dyDescent="0.4">
      <c r="A413" t="s">
        <v>457</v>
      </c>
      <c r="B413" t="s">
        <v>38</v>
      </c>
      <c r="C413" t="s">
        <v>52</v>
      </c>
      <c r="D413" t="s">
        <v>35</v>
      </c>
      <c r="E413" t="s">
        <v>36</v>
      </c>
      <c r="F413">
        <f t="shared" ca="1" si="6"/>
        <v>0.91966151981309696</v>
      </c>
      <c r="G413">
        <v>270</v>
      </c>
      <c r="H413">
        <v>3</v>
      </c>
      <c r="I413">
        <v>0.5</v>
      </c>
      <c r="J413">
        <v>150</v>
      </c>
      <c r="K413">
        <v>5</v>
      </c>
      <c r="L413">
        <v>43</v>
      </c>
    </row>
    <row r="414" spans="1:12" x14ac:dyDescent="0.4">
      <c r="A414" t="s">
        <v>458</v>
      </c>
      <c r="B414" t="s">
        <v>33</v>
      </c>
      <c r="C414" t="s">
        <v>34</v>
      </c>
      <c r="D414" t="s">
        <v>35</v>
      </c>
      <c r="E414" t="s">
        <v>36</v>
      </c>
      <c r="F414">
        <f t="shared" ca="1" si="6"/>
        <v>0.29995270015914033</v>
      </c>
      <c r="G414">
        <v>360</v>
      </c>
      <c r="H414">
        <v>3</v>
      </c>
      <c r="I414">
        <v>1</v>
      </c>
      <c r="J414">
        <v>100</v>
      </c>
      <c r="K414">
        <v>2</v>
      </c>
      <c r="L414">
        <v>40</v>
      </c>
    </row>
    <row r="415" spans="1:12" x14ac:dyDescent="0.4">
      <c r="A415" t="s">
        <v>459</v>
      </c>
      <c r="B415" t="s">
        <v>38</v>
      </c>
      <c r="C415" t="s">
        <v>34</v>
      </c>
      <c r="D415" t="s">
        <v>41</v>
      </c>
      <c r="E415" t="s">
        <v>42</v>
      </c>
      <c r="F415">
        <f t="shared" ca="1" si="6"/>
        <v>0.81543073690567003</v>
      </c>
      <c r="G415">
        <v>110</v>
      </c>
      <c r="H415">
        <v>4</v>
      </c>
      <c r="I415">
        <v>1</v>
      </c>
      <c r="J415">
        <v>50</v>
      </c>
      <c r="K415">
        <v>6</v>
      </c>
      <c r="L415">
        <v>54</v>
      </c>
    </row>
    <row r="416" spans="1:12" x14ac:dyDescent="0.4">
      <c r="A416" t="s">
        <v>460</v>
      </c>
      <c r="B416" t="s">
        <v>38</v>
      </c>
      <c r="C416" t="s">
        <v>34</v>
      </c>
      <c r="D416" t="s">
        <v>35</v>
      </c>
      <c r="E416" t="s">
        <v>36</v>
      </c>
      <c r="F416">
        <f t="shared" ca="1" si="6"/>
        <v>0.7825854543700107</v>
      </c>
      <c r="G416">
        <v>50</v>
      </c>
      <c r="H416">
        <v>8</v>
      </c>
      <c r="I416">
        <v>1</v>
      </c>
      <c r="J416">
        <v>50</v>
      </c>
      <c r="K416">
        <v>2</v>
      </c>
      <c r="L416">
        <v>64</v>
      </c>
    </row>
    <row r="417" spans="1:12" x14ac:dyDescent="0.4">
      <c r="A417" t="s">
        <v>461</v>
      </c>
      <c r="B417" t="s">
        <v>38</v>
      </c>
      <c r="C417" t="s">
        <v>52</v>
      </c>
      <c r="D417" t="s">
        <v>39</v>
      </c>
      <c r="E417" t="s">
        <v>36</v>
      </c>
      <c r="F417">
        <f t="shared" ca="1" si="6"/>
        <v>0.74552846986680155</v>
      </c>
      <c r="G417">
        <v>180</v>
      </c>
      <c r="H417">
        <v>4</v>
      </c>
      <c r="I417">
        <v>0.5</v>
      </c>
      <c r="J417">
        <v>25</v>
      </c>
      <c r="K417">
        <v>3</v>
      </c>
      <c r="L417">
        <v>46</v>
      </c>
    </row>
    <row r="418" spans="1:12" x14ac:dyDescent="0.4">
      <c r="A418" t="s">
        <v>462</v>
      </c>
      <c r="B418" t="s">
        <v>38</v>
      </c>
      <c r="C418" t="s">
        <v>34</v>
      </c>
      <c r="D418" t="s">
        <v>39</v>
      </c>
      <c r="E418" t="s">
        <v>36</v>
      </c>
      <c r="F418">
        <f t="shared" ca="1" si="6"/>
        <v>0.10975308735596334</v>
      </c>
      <c r="G418">
        <v>200</v>
      </c>
      <c r="H418">
        <v>5</v>
      </c>
      <c r="I418">
        <v>1</v>
      </c>
      <c r="J418">
        <v>80</v>
      </c>
      <c r="K418">
        <v>3</v>
      </c>
      <c r="L418">
        <v>44</v>
      </c>
    </row>
    <row r="419" spans="1:12" x14ac:dyDescent="0.4">
      <c r="A419" t="s">
        <v>463</v>
      </c>
      <c r="B419" t="s">
        <v>33</v>
      </c>
      <c r="C419" t="s">
        <v>52</v>
      </c>
      <c r="D419" t="s">
        <v>98</v>
      </c>
      <c r="E419" t="s">
        <v>36</v>
      </c>
      <c r="F419">
        <f t="shared" ca="1" si="6"/>
        <v>0.81673080495144323</v>
      </c>
      <c r="G419">
        <v>330</v>
      </c>
      <c r="H419">
        <v>3</v>
      </c>
      <c r="I419">
        <v>1</v>
      </c>
      <c r="J419">
        <v>100</v>
      </c>
      <c r="K419">
        <v>2</v>
      </c>
      <c r="L419">
        <v>45</v>
      </c>
    </row>
    <row r="420" spans="1:12" x14ac:dyDescent="0.4">
      <c r="A420" t="s">
        <v>464</v>
      </c>
      <c r="B420" t="s">
        <v>33</v>
      </c>
      <c r="C420" t="s">
        <v>34</v>
      </c>
      <c r="D420" t="s">
        <v>35</v>
      </c>
      <c r="E420" t="s">
        <v>36</v>
      </c>
      <c r="F420">
        <f t="shared" ca="1" si="6"/>
        <v>0.81655498721565056</v>
      </c>
      <c r="G420">
        <v>450</v>
      </c>
      <c r="H420">
        <v>6</v>
      </c>
      <c r="I420">
        <v>1</v>
      </c>
      <c r="J420">
        <v>60</v>
      </c>
      <c r="K420">
        <v>5</v>
      </c>
      <c r="L420">
        <v>21</v>
      </c>
    </row>
    <row r="421" spans="1:12" x14ac:dyDescent="0.4">
      <c r="A421" t="s">
        <v>465</v>
      </c>
      <c r="B421" t="s">
        <v>38</v>
      </c>
      <c r="C421" t="s">
        <v>52</v>
      </c>
      <c r="D421" t="s">
        <v>39</v>
      </c>
      <c r="E421" t="s">
        <v>36</v>
      </c>
      <c r="F421">
        <f t="shared" ca="1" si="6"/>
        <v>0.26779997412657608</v>
      </c>
      <c r="G421">
        <v>180</v>
      </c>
      <c r="H421">
        <v>5</v>
      </c>
      <c r="I421">
        <v>0.25</v>
      </c>
      <c r="J421">
        <v>50</v>
      </c>
      <c r="K421">
        <v>2</v>
      </c>
      <c r="L421">
        <v>51</v>
      </c>
    </row>
    <row r="422" spans="1:12" x14ac:dyDescent="0.4">
      <c r="A422" t="s">
        <v>466</v>
      </c>
      <c r="B422" t="s">
        <v>38</v>
      </c>
      <c r="C422" t="s">
        <v>52</v>
      </c>
      <c r="D422" t="s">
        <v>35</v>
      </c>
      <c r="E422" t="s">
        <v>36</v>
      </c>
      <c r="F422">
        <f t="shared" ca="1" si="6"/>
        <v>0.41171889154822405</v>
      </c>
      <c r="G422">
        <v>180</v>
      </c>
      <c r="H422">
        <v>5</v>
      </c>
      <c r="I422">
        <v>0.5</v>
      </c>
      <c r="J422">
        <v>20</v>
      </c>
      <c r="K422">
        <v>3</v>
      </c>
      <c r="L422">
        <v>45</v>
      </c>
    </row>
    <row r="423" spans="1:12" x14ac:dyDescent="0.4">
      <c r="A423" t="s">
        <v>467</v>
      </c>
      <c r="B423" t="s">
        <v>38</v>
      </c>
      <c r="C423" t="s">
        <v>52</v>
      </c>
      <c r="D423" t="s">
        <v>39</v>
      </c>
      <c r="E423" t="s">
        <v>36</v>
      </c>
      <c r="F423">
        <f t="shared" ca="1" si="6"/>
        <v>0.27890431392125548</v>
      </c>
      <c r="G423">
        <v>360</v>
      </c>
      <c r="H423">
        <v>6</v>
      </c>
      <c r="I423">
        <v>0.75</v>
      </c>
      <c r="J423">
        <v>50</v>
      </c>
      <c r="K423">
        <v>4</v>
      </c>
      <c r="L423">
        <v>27</v>
      </c>
    </row>
  </sheetData>
  <sortState xmlns:xlrd2="http://schemas.microsoft.com/office/spreadsheetml/2017/richdata2" ref="A2:F423">
    <sortCondition ref="F2:F423"/>
  </sortState>
  <conditionalFormatting sqref="A1:A1048576">
    <cfRule type="duplicateValues" dxfId="2" priority="1"/>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95E9-C57F-46A6-9AE4-E8FA6175B88C}">
  <dimension ref="A1:K301"/>
  <sheetViews>
    <sheetView workbookViewId="0">
      <selection activeCell="O15" sqref="O15"/>
    </sheetView>
  </sheetViews>
  <sheetFormatPr defaultColWidth="8.83203125" defaultRowHeight="16" x14ac:dyDescent="0.4"/>
  <cols>
    <col min="4" max="4" width="9.08203125" customWidth="1"/>
    <col min="5" max="5" width="9.58203125" customWidth="1"/>
    <col min="9" max="9" width="15.08203125" customWidth="1"/>
    <col min="10" max="10" width="11.08203125" customWidth="1"/>
  </cols>
  <sheetData>
    <row r="1" spans="1:11" x14ac:dyDescent="0.4">
      <c r="A1" s="1" t="s">
        <v>6</v>
      </c>
      <c r="B1" s="8" t="s">
        <v>9</v>
      </c>
      <c r="C1" s="8" t="s">
        <v>12</v>
      </c>
      <c r="D1" s="8" t="s">
        <v>15</v>
      </c>
      <c r="E1" s="8" t="s">
        <v>17</v>
      </c>
      <c r="F1" s="8" t="s">
        <v>19</v>
      </c>
      <c r="G1" s="8" t="s">
        <v>21</v>
      </c>
      <c r="H1" s="8" t="s">
        <v>23</v>
      </c>
      <c r="I1" s="8" t="s">
        <v>25</v>
      </c>
      <c r="J1" s="8" t="s">
        <v>27</v>
      </c>
      <c r="K1" s="8" t="s">
        <v>29</v>
      </c>
    </row>
    <row r="2" spans="1:11" x14ac:dyDescent="0.4">
      <c r="A2" t="s">
        <v>32</v>
      </c>
      <c r="B2" t="s">
        <v>33</v>
      </c>
      <c r="C2">
        <v>65</v>
      </c>
      <c r="D2" t="s">
        <v>34</v>
      </c>
      <c r="E2">
        <v>3</v>
      </c>
      <c r="F2">
        <v>0.25</v>
      </c>
      <c r="G2">
        <v>70</v>
      </c>
      <c r="H2">
        <v>2</v>
      </c>
      <c r="I2" t="s">
        <v>35</v>
      </c>
      <c r="J2" t="s">
        <v>36</v>
      </c>
      <c r="K2">
        <v>100</v>
      </c>
    </row>
    <row r="3" spans="1:11" x14ac:dyDescent="0.4">
      <c r="A3" t="s">
        <v>37</v>
      </c>
      <c r="B3" t="s">
        <v>38</v>
      </c>
      <c r="C3">
        <v>58</v>
      </c>
      <c r="D3" t="s">
        <v>34</v>
      </c>
      <c r="E3">
        <v>5</v>
      </c>
      <c r="F3">
        <v>0.5</v>
      </c>
      <c r="G3">
        <v>50</v>
      </c>
      <c r="H3">
        <v>2</v>
      </c>
      <c r="I3" t="s">
        <v>39</v>
      </c>
      <c r="J3" t="s">
        <v>36</v>
      </c>
      <c r="K3">
        <v>100</v>
      </c>
    </row>
    <row r="4" spans="1:11" x14ac:dyDescent="0.4">
      <c r="A4" t="s">
        <v>40</v>
      </c>
      <c r="B4" t="s">
        <v>38</v>
      </c>
      <c r="C4">
        <v>20</v>
      </c>
      <c r="D4" t="s">
        <v>34</v>
      </c>
      <c r="E4">
        <v>5</v>
      </c>
      <c r="F4">
        <v>1.5</v>
      </c>
      <c r="G4">
        <v>50</v>
      </c>
      <c r="H4">
        <v>2</v>
      </c>
      <c r="I4" t="s">
        <v>41</v>
      </c>
      <c r="J4" t="s">
        <v>42</v>
      </c>
      <c r="K4">
        <v>450</v>
      </c>
    </row>
    <row r="5" spans="1:11" x14ac:dyDescent="0.4">
      <c r="A5" t="s">
        <v>43</v>
      </c>
      <c r="B5" t="s">
        <v>33</v>
      </c>
      <c r="C5">
        <v>28</v>
      </c>
      <c r="D5" t="s">
        <v>34</v>
      </c>
      <c r="E5">
        <v>6</v>
      </c>
      <c r="F5">
        <v>1</v>
      </c>
      <c r="G5">
        <v>50</v>
      </c>
      <c r="H5">
        <v>5</v>
      </c>
      <c r="I5" t="s">
        <v>35</v>
      </c>
      <c r="J5" t="s">
        <v>36</v>
      </c>
      <c r="K5">
        <v>360</v>
      </c>
    </row>
    <row r="6" spans="1:11" x14ac:dyDescent="0.4">
      <c r="A6" t="s">
        <v>44</v>
      </c>
      <c r="B6" t="s">
        <v>38</v>
      </c>
      <c r="C6">
        <v>53</v>
      </c>
      <c r="D6" t="s">
        <v>45</v>
      </c>
      <c r="E6">
        <v>6</v>
      </c>
      <c r="F6">
        <v>0.25</v>
      </c>
      <c r="G6">
        <v>45</v>
      </c>
      <c r="H6">
        <v>6</v>
      </c>
      <c r="I6" t="s">
        <v>35</v>
      </c>
      <c r="J6" t="s">
        <v>36</v>
      </c>
      <c r="K6">
        <v>135</v>
      </c>
    </row>
    <row r="7" spans="1:11" x14ac:dyDescent="0.4">
      <c r="A7" t="s">
        <v>46</v>
      </c>
      <c r="B7" t="s">
        <v>38</v>
      </c>
      <c r="C7">
        <v>20</v>
      </c>
      <c r="D7" t="s">
        <v>34</v>
      </c>
      <c r="E7">
        <v>5</v>
      </c>
      <c r="F7">
        <v>2</v>
      </c>
      <c r="G7">
        <v>50</v>
      </c>
      <c r="H7">
        <v>2</v>
      </c>
      <c r="I7" t="s">
        <v>41</v>
      </c>
      <c r="J7" t="s">
        <v>36</v>
      </c>
      <c r="K7">
        <v>550</v>
      </c>
    </row>
    <row r="8" spans="1:11" x14ac:dyDescent="0.4">
      <c r="A8" t="s">
        <v>47</v>
      </c>
      <c r="B8" t="s">
        <v>38</v>
      </c>
      <c r="C8">
        <v>40</v>
      </c>
      <c r="D8" t="s">
        <v>34</v>
      </c>
      <c r="E8">
        <v>4</v>
      </c>
      <c r="F8">
        <v>0.5</v>
      </c>
      <c r="G8">
        <v>100</v>
      </c>
      <c r="H8">
        <v>4</v>
      </c>
      <c r="I8" t="s">
        <v>41</v>
      </c>
      <c r="J8" t="s">
        <v>42</v>
      </c>
      <c r="K8">
        <v>360</v>
      </c>
    </row>
    <row r="9" spans="1:11" x14ac:dyDescent="0.4">
      <c r="A9" t="s">
        <v>48</v>
      </c>
      <c r="B9" t="s">
        <v>38</v>
      </c>
      <c r="C9">
        <v>41</v>
      </c>
      <c r="D9" t="s">
        <v>34</v>
      </c>
      <c r="E9">
        <v>5</v>
      </c>
      <c r="F9">
        <v>0.25</v>
      </c>
      <c r="G9">
        <v>50</v>
      </c>
      <c r="H9">
        <v>3</v>
      </c>
      <c r="I9" t="s">
        <v>35</v>
      </c>
      <c r="J9" t="s">
        <v>36</v>
      </c>
      <c r="K9">
        <v>270</v>
      </c>
    </row>
    <row r="10" spans="1:11" x14ac:dyDescent="0.4">
      <c r="A10" t="s">
        <v>49</v>
      </c>
      <c r="B10" t="s">
        <v>38</v>
      </c>
      <c r="C10">
        <v>74</v>
      </c>
      <c r="D10" t="s">
        <v>34</v>
      </c>
      <c r="E10">
        <v>6</v>
      </c>
      <c r="F10">
        <v>1</v>
      </c>
      <c r="G10">
        <v>40</v>
      </c>
      <c r="H10">
        <v>4</v>
      </c>
      <c r="I10" t="s">
        <v>50</v>
      </c>
      <c r="J10" t="s">
        <v>42</v>
      </c>
      <c r="K10">
        <v>90</v>
      </c>
    </row>
    <row r="11" spans="1:11" x14ac:dyDescent="0.4">
      <c r="A11" t="s">
        <v>51</v>
      </c>
      <c r="B11" t="s">
        <v>38</v>
      </c>
      <c r="C11">
        <v>63</v>
      </c>
      <c r="D11" t="s">
        <v>52</v>
      </c>
      <c r="E11">
        <v>3</v>
      </c>
      <c r="F11">
        <v>0.5</v>
      </c>
      <c r="G11">
        <v>250</v>
      </c>
      <c r="H11">
        <v>4</v>
      </c>
      <c r="I11" t="s">
        <v>35</v>
      </c>
      <c r="J11" t="s">
        <v>36</v>
      </c>
      <c r="K11">
        <v>100</v>
      </c>
    </row>
    <row r="12" spans="1:11" x14ac:dyDescent="0.4">
      <c r="A12" t="s">
        <v>53</v>
      </c>
      <c r="B12" t="s">
        <v>33</v>
      </c>
      <c r="C12">
        <v>33</v>
      </c>
      <c r="D12" t="s">
        <v>34</v>
      </c>
      <c r="E12">
        <v>4</v>
      </c>
      <c r="F12">
        <v>1</v>
      </c>
      <c r="G12">
        <v>50</v>
      </c>
      <c r="H12">
        <v>2</v>
      </c>
      <c r="I12" t="s">
        <v>39</v>
      </c>
      <c r="J12" t="s">
        <v>42</v>
      </c>
      <c r="K12">
        <v>360</v>
      </c>
    </row>
    <row r="13" spans="1:11" x14ac:dyDescent="0.4">
      <c r="A13" t="s">
        <v>54</v>
      </c>
      <c r="B13" t="s">
        <v>33</v>
      </c>
      <c r="C13">
        <v>42</v>
      </c>
      <c r="D13" t="s">
        <v>34</v>
      </c>
      <c r="E13">
        <v>3</v>
      </c>
      <c r="F13">
        <v>0.5</v>
      </c>
      <c r="G13">
        <v>20</v>
      </c>
      <c r="H13">
        <v>4</v>
      </c>
      <c r="I13" t="s">
        <v>35</v>
      </c>
      <c r="J13" t="s">
        <v>36</v>
      </c>
      <c r="K13">
        <v>270</v>
      </c>
    </row>
    <row r="14" spans="1:11" x14ac:dyDescent="0.4">
      <c r="A14" t="s">
        <v>55</v>
      </c>
      <c r="B14" t="s">
        <v>38</v>
      </c>
      <c r="C14">
        <v>74</v>
      </c>
      <c r="D14" t="s">
        <v>34</v>
      </c>
      <c r="E14">
        <v>4</v>
      </c>
      <c r="F14">
        <v>0.5</v>
      </c>
      <c r="G14">
        <v>40</v>
      </c>
      <c r="H14">
        <v>3</v>
      </c>
      <c r="I14" t="s">
        <v>35</v>
      </c>
      <c r="J14" t="s">
        <v>36</v>
      </c>
      <c r="K14">
        <v>90</v>
      </c>
    </row>
    <row r="15" spans="1:11" x14ac:dyDescent="0.4">
      <c r="A15" t="s">
        <v>56</v>
      </c>
      <c r="B15" t="s">
        <v>38</v>
      </c>
      <c r="C15">
        <v>56</v>
      </c>
      <c r="D15" t="s">
        <v>34</v>
      </c>
      <c r="E15">
        <v>8</v>
      </c>
      <c r="F15">
        <v>0.25</v>
      </c>
      <c r="G15">
        <v>250</v>
      </c>
      <c r="H15">
        <v>3</v>
      </c>
      <c r="I15" t="s">
        <v>41</v>
      </c>
      <c r="J15" t="s">
        <v>42</v>
      </c>
      <c r="K15">
        <v>90</v>
      </c>
    </row>
    <row r="16" spans="1:11" x14ac:dyDescent="0.4">
      <c r="A16" t="s">
        <v>57</v>
      </c>
      <c r="B16" t="s">
        <v>38</v>
      </c>
      <c r="C16">
        <v>48</v>
      </c>
      <c r="D16" t="s">
        <v>52</v>
      </c>
      <c r="E16">
        <v>4</v>
      </c>
      <c r="F16">
        <v>0.5</v>
      </c>
      <c r="G16">
        <v>70</v>
      </c>
      <c r="H16">
        <v>5</v>
      </c>
      <c r="I16" t="s">
        <v>39</v>
      </c>
      <c r="J16" t="s">
        <v>42</v>
      </c>
      <c r="K16">
        <v>180</v>
      </c>
    </row>
    <row r="17" spans="1:11" x14ac:dyDescent="0.4">
      <c r="A17" t="s">
        <v>58</v>
      </c>
      <c r="B17" t="s">
        <v>38</v>
      </c>
      <c r="C17">
        <v>49</v>
      </c>
      <c r="D17" t="s">
        <v>52</v>
      </c>
      <c r="E17">
        <v>4</v>
      </c>
      <c r="F17">
        <v>0.5</v>
      </c>
      <c r="G17">
        <v>25</v>
      </c>
      <c r="H17">
        <v>3</v>
      </c>
      <c r="I17" t="s">
        <v>41</v>
      </c>
      <c r="J17" t="s">
        <v>42</v>
      </c>
      <c r="K17">
        <v>150</v>
      </c>
    </row>
    <row r="18" spans="1:11" x14ac:dyDescent="0.4">
      <c r="A18" t="s">
        <v>59</v>
      </c>
      <c r="B18" t="s">
        <v>38</v>
      </c>
      <c r="C18">
        <v>54</v>
      </c>
      <c r="D18" t="s">
        <v>52</v>
      </c>
      <c r="E18">
        <v>5</v>
      </c>
      <c r="F18">
        <v>0.5</v>
      </c>
      <c r="G18">
        <v>20</v>
      </c>
      <c r="H18">
        <v>4</v>
      </c>
      <c r="I18" t="s">
        <v>39</v>
      </c>
      <c r="J18" t="s">
        <v>36</v>
      </c>
      <c r="K18">
        <v>100</v>
      </c>
    </row>
    <row r="19" spans="1:11" x14ac:dyDescent="0.4">
      <c r="A19" t="s">
        <v>60</v>
      </c>
      <c r="B19" t="s">
        <v>38</v>
      </c>
      <c r="C19">
        <v>37</v>
      </c>
      <c r="D19" t="s">
        <v>34</v>
      </c>
      <c r="E19">
        <v>6</v>
      </c>
      <c r="F19">
        <v>1</v>
      </c>
      <c r="G19">
        <v>50</v>
      </c>
      <c r="H19">
        <v>2</v>
      </c>
      <c r="I19" t="s">
        <v>41</v>
      </c>
      <c r="J19" t="s">
        <v>36</v>
      </c>
      <c r="K19">
        <v>270</v>
      </c>
    </row>
    <row r="20" spans="1:11" x14ac:dyDescent="0.4">
      <c r="A20" t="s">
        <v>61</v>
      </c>
      <c r="B20" t="s">
        <v>33</v>
      </c>
      <c r="C20">
        <v>49</v>
      </c>
      <c r="D20" t="s">
        <v>34</v>
      </c>
      <c r="E20">
        <v>3</v>
      </c>
      <c r="F20">
        <v>0.5</v>
      </c>
      <c r="G20">
        <v>30</v>
      </c>
      <c r="H20">
        <v>2</v>
      </c>
      <c r="I20" t="s">
        <v>39</v>
      </c>
      <c r="J20" t="s">
        <v>36</v>
      </c>
      <c r="K20">
        <v>180</v>
      </c>
    </row>
    <row r="21" spans="1:11" x14ac:dyDescent="0.4">
      <c r="A21" t="s">
        <v>62</v>
      </c>
      <c r="B21" t="s">
        <v>38</v>
      </c>
      <c r="C21">
        <v>42</v>
      </c>
      <c r="D21" t="s">
        <v>34</v>
      </c>
      <c r="E21">
        <v>3</v>
      </c>
      <c r="F21">
        <v>1</v>
      </c>
      <c r="G21">
        <v>50</v>
      </c>
      <c r="H21">
        <v>2</v>
      </c>
      <c r="I21" t="s">
        <v>35</v>
      </c>
      <c r="J21" t="s">
        <v>36</v>
      </c>
      <c r="K21">
        <v>240</v>
      </c>
    </row>
    <row r="22" spans="1:11" x14ac:dyDescent="0.4">
      <c r="A22" t="s">
        <v>63</v>
      </c>
      <c r="B22" t="s">
        <v>38</v>
      </c>
      <c r="C22">
        <v>36</v>
      </c>
      <c r="D22" t="s">
        <v>34</v>
      </c>
      <c r="E22">
        <v>5</v>
      </c>
      <c r="F22">
        <v>1</v>
      </c>
      <c r="G22">
        <v>50</v>
      </c>
      <c r="H22">
        <v>5</v>
      </c>
      <c r="I22" t="s">
        <v>39</v>
      </c>
      <c r="J22" t="s">
        <v>36</v>
      </c>
      <c r="K22">
        <v>270</v>
      </c>
    </row>
    <row r="23" spans="1:11" x14ac:dyDescent="0.4">
      <c r="A23" t="s">
        <v>64</v>
      </c>
      <c r="B23" t="s">
        <v>38</v>
      </c>
      <c r="C23">
        <v>40</v>
      </c>
      <c r="D23" t="s">
        <v>52</v>
      </c>
      <c r="E23">
        <v>3</v>
      </c>
      <c r="F23">
        <v>0.75</v>
      </c>
      <c r="G23">
        <v>50</v>
      </c>
      <c r="H23">
        <v>3</v>
      </c>
      <c r="I23" t="s">
        <v>41</v>
      </c>
      <c r="J23" t="s">
        <v>36</v>
      </c>
      <c r="K23">
        <v>270</v>
      </c>
    </row>
    <row r="24" spans="1:11" x14ac:dyDescent="0.4">
      <c r="A24" t="s">
        <v>65</v>
      </c>
      <c r="B24" t="s">
        <v>33</v>
      </c>
      <c r="C24">
        <v>29</v>
      </c>
      <c r="D24" t="s">
        <v>34</v>
      </c>
      <c r="E24">
        <v>5</v>
      </c>
      <c r="F24">
        <v>0.5</v>
      </c>
      <c r="G24">
        <v>20</v>
      </c>
      <c r="H24">
        <v>2</v>
      </c>
      <c r="I24" t="s">
        <v>41</v>
      </c>
      <c r="J24" t="s">
        <v>42</v>
      </c>
      <c r="K24">
        <v>360</v>
      </c>
    </row>
    <row r="25" spans="1:11" x14ac:dyDescent="0.4">
      <c r="A25" t="s">
        <v>66</v>
      </c>
      <c r="B25" t="s">
        <v>38</v>
      </c>
      <c r="C25">
        <v>55</v>
      </c>
      <c r="D25" t="s">
        <v>52</v>
      </c>
      <c r="E25">
        <v>4</v>
      </c>
      <c r="F25">
        <v>2.5</v>
      </c>
      <c r="G25">
        <v>50</v>
      </c>
      <c r="H25">
        <v>3</v>
      </c>
      <c r="I25" t="s">
        <v>39</v>
      </c>
      <c r="J25" t="s">
        <v>36</v>
      </c>
      <c r="K25">
        <v>150</v>
      </c>
    </row>
    <row r="26" spans="1:11" x14ac:dyDescent="0.4">
      <c r="A26" t="s">
        <v>67</v>
      </c>
      <c r="B26" t="s">
        <v>38</v>
      </c>
      <c r="C26">
        <v>44</v>
      </c>
      <c r="D26" t="s">
        <v>34</v>
      </c>
      <c r="E26">
        <v>3</v>
      </c>
      <c r="F26">
        <v>0.25</v>
      </c>
      <c r="G26">
        <v>20</v>
      </c>
      <c r="H26">
        <v>2</v>
      </c>
      <c r="I26" t="s">
        <v>35</v>
      </c>
      <c r="J26" t="s">
        <v>42</v>
      </c>
      <c r="K26">
        <v>180</v>
      </c>
    </row>
    <row r="27" spans="1:11" x14ac:dyDescent="0.4">
      <c r="A27" t="s">
        <v>68</v>
      </c>
      <c r="B27" t="s">
        <v>33</v>
      </c>
      <c r="C27">
        <v>51</v>
      </c>
      <c r="D27" t="s">
        <v>34</v>
      </c>
      <c r="E27">
        <v>3</v>
      </c>
      <c r="F27">
        <v>0.5</v>
      </c>
      <c r="G27">
        <v>150</v>
      </c>
      <c r="H27">
        <v>2</v>
      </c>
      <c r="I27" t="s">
        <v>39</v>
      </c>
      <c r="J27" t="s">
        <v>36</v>
      </c>
      <c r="K27">
        <v>150</v>
      </c>
    </row>
    <row r="28" spans="1:11" x14ac:dyDescent="0.4">
      <c r="A28" t="s">
        <v>69</v>
      </c>
      <c r="B28" t="s">
        <v>38</v>
      </c>
      <c r="C28">
        <v>48</v>
      </c>
      <c r="D28" t="s">
        <v>34</v>
      </c>
      <c r="E28">
        <v>3</v>
      </c>
      <c r="F28">
        <v>0.5</v>
      </c>
      <c r="G28">
        <v>200</v>
      </c>
      <c r="H28">
        <v>2</v>
      </c>
      <c r="I28" t="s">
        <v>35</v>
      </c>
      <c r="J28" t="s">
        <v>36</v>
      </c>
      <c r="K28">
        <v>180</v>
      </c>
    </row>
    <row r="29" spans="1:11" x14ac:dyDescent="0.4">
      <c r="A29" t="s">
        <v>70</v>
      </c>
      <c r="B29" t="s">
        <v>33</v>
      </c>
      <c r="C29">
        <v>72</v>
      </c>
      <c r="D29" t="s">
        <v>34</v>
      </c>
      <c r="E29">
        <v>2</v>
      </c>
      <c r="F29">
        <v>0.3</v>
      </c>
      <c r="G29">
        <v>40</v>
      </c>
      <c r="H29">
        <v>4</v>
      </c>
      <c r="I29" t="s">
        <v>35</v>
      </c>
      <c r="J29" t="s">
        <v>36</v>
      </c>
      <c r="K29">
        <v>90</v>
      </c>
    </row>
    <row r="30" spans="1:11" x14ac:dyDescent="0.4">
      <c r="A30" t="s">
        <v>71</v>
      </c>
      <c r="B30" t="s">
        <v>33</v>
      </c>
      <c r="C30">
        <v>52</v>
      </c>
      <c r="D30" t="s">
        <v>45</v>
      </c>
      <c r="E30">
        <v>3</v>
      </c>
      <c r="F30">
        <v>0.5</v>
      </c>
      <c r="G30">
        <v>200</v>
      </c>
      <c r="H30">
        <v>2</v>
      </c>
      <c r="I30" t="s">
        <v>35</v>
      </c>
      <c r="J30" t="s">
        <v>42</v>
      </c>
      <c r="K30">
        <v>180</v>
      </c>
    </row>
    <row r="31" spans="1:11" x14ac:dyDescent="0.4">
      <c r="A31" t="s">
        <v>72</v>
      </c>
      <c r="B31" t="s">
        <v>38</v>
      </c>
      <c r="C31">
        <v>59</v>
      </c>
      <c r="D31" t="s">
        <v>34</v>
      </c>
      <c r="E31">
        <v>3</v>
      </c>
      <c r="F31">
        <v>0.25</v>
      </c>
      <c r="G31">
        <v>20</v>
      </c>
      <c r="H31">
        <v>2</v>
      </c>
      <c r="I31" t="s">
        <v>35</v>
      </c>
      <c r="J31" t="s">
        <v>36</v>
      </c>
      <c r="K31">
        <v>90</v>
      </c>
    </row>
    <row r="32" spans="1:11" x14ac:dyDescent="0.4">
      <c r="A32" t="s">
        <v>73</v>
      </c>
      <c r="B32" t="s">
        <v>38</v>
      </c>
      <c r="C32">
        <v>40</v>
      </c>
      <c r="D32" t="s">
        <v>34</v>
      </c>
      <c r="E32">
        <v>4</v>
      </c>
      <c r="F32">
        <v>1</v>
      </c>
      <c r="G32">
        <v>20</v>
      </c>
      <c r="H32">
        <v>3</v>
      </c>
      <c r="I32" t="s">
        <v>35</v>
      </c>
      <c r="J32" t="s">
        <v>36</v>
      </c>
      <c r="K32">
        <v>270</v>
      </c>
    </row>
    <row r="33" spans="1:11" x14ac:dyDescent="0.4">
      <c r="A33" t="s">
        <v>74</v>
      </c>
      <c r="B33" t="s">
        <v>33</v>
      </c>
      <c r="C33">
        <v>22</v>
      </c>
      <c r="D33" t="s">
        <v>52</v>
      </c>
      <c r="E33">
        <v>2</v>
      </c>
      <c r="F33">
        <v>2</v>
      </c>
      <c r="G33">
        <v>150</v>
      </c>
      <c r="H33">
        <v>2</v>
      </c>
      <c r="I33" t="s">
        <v>35</v>
      </c>
      <c r="J33" t="s">
        <v>36</v>
      </c>
      <c r="K33">
        <v>550</v>
      </c>
    </row>
    <row r="34" spans="1:11" x14ac:dyDescent="0.4">
      <c r="A34" t="s">
        <v>75</v>
      </c>
      <c r="B34" t="s">
        <v>38</v>
      </c>
      <c r="C34">
        <v>59</v>
      </c>
      <c r="D34" t="s">
        <v>34</v>
      </c>
      <c r="E34">
        <v>3</v>
      </c>
      <c r="F34">
        <v>1</v>
      </c>
      <c r="G34">
        <v>37</v>
      </c>
      <c r="H34">
        <v>2</v>
      </c>
      <c r="I34" t="s">
        <v>35</v>
      </c>
      <c r="J34" t="s">
        <v>36</v>
      </c>
      <c r="K34">
        <v>80</v>
      </c>
    </row>
    <row r="35" spans="1:11" x14ac:dyDescent="0.4">
      <c r="A35" t="s">
        <v>76</v>
      </c>
      <c r="B35" t="s">
        <v>33</v>
      </c>
      <c r="C35">
        <v>25</v>
      </c>
      <c r="D35" t="s">
        <v>77</v>
      </c>
      <c r="E35">
        <v>6</v>
      </c>
      <c r="F35">
        <v>0.5</v>
      </c>
      <c r="G35">
        <v>20</v>
      </c>
      <c r="H35">
        <v>3</v>
      </c>
      <c r="I35" t="s">
        <v>35</v>
      </c>
      <c r="J35" t="s">
        <v>36</v>
      </c>
      <c r="K35">
        <v>540</v>
      </c>
    </row>
    <row r="36" spans="1:11" x14ac:dyDescent="0.4">
      <c r="A36" t="s">
        <v>78</v>
      </c>
      <c r="B36" t="s">
        <v>38</v>
      </c>
      <c r="C36">
        <v>36</v>
      </c>
      <c r="D36" t="s">
        <v>34</v>
      </c>
      <c r="E36">
        <v>5</v>
      </c>
      <c r="F36">
        <v>0.5</v>
      </c>
      <c r="G36">
        <v>30</v>
      </c>
      <c r="H36">
        <v>2</v>
      </c>
      <c r="I36" t="s">
        <v>35</v>
      </c>
      <c r="J36" t="s">
        <v>36</v>
      </c>
      <c r="K36">
        <v>250</v>
      </c>
    </row>
    <row r="37" spans="1:11" x14ac:dyDescent="0.4">
      <c r="A37" t="s">
        <v>79</v>
      </c>
      <c r="B37" t="s">
        <v>33</v>
      </c>
      <c r="C37">
        <v>67</v>
      </c>
      <c r="D37" t="s">
        <v>52</v>
      </c>
      <c r="E37">
        <v>6</v>
      </c>
      <c r="F37">
        <v>0.5</v>
      </c>
      <c r="G37">
        <v>40</v>
      </c>
      <c r="H37">
        <v>3</v>
      </c>
      <c r="I37" t="s">
        <v>35</v>
      </c>
      <c r="J37" t="s">
        <v>36</v>
      </c>
      <c r="K37">
        <v>90</v>
      </c>
    </row>
    <row r="38" spans="1:11" x14ac:dyDescent="0.4">
      <c r="A38" t="s">
        <v>80</v>
      </c>
      <c r="B38" t="s">
        <v>38</v>
      </c>
      <c r="C38">
        <v>56</v>
      </c>
      <c r="D38" t="s">
        <v>34</v>
      </c>
      <c r="E38">
        <v>8</v>
      </c>
      <c r="F38">
        <v>0.75</v>
      </c>
      <c r="G38">
        <v>25</v>
      </c>
      <c r="H38">
        <v>3</v>
      </c>
      <c r="I38" t="s">
        <v>35</v>
      </c>
      <c r="J38" t="s">
        <v>36</v>
      </c>
      <c r="K38">
        <v>70</v>
      </c>
    </row>
    <row r="39" spans="1:11" x14ac:dyDescent="0.4">
      <c r="A39" t="s">
        <v>81</v>
      </c>
      <c r="B39" t="s">
        <v>38</v>
      </c>
      <c r="C39">
        <v>43</v>
      </c>
      <c r="D39" t="s">
        <v>34</v>
      </c>
      <c r="E39">
        <v>4</v>
      </c>
      <c r="F39">
        <v>1</v>
      </c>
      <c r="G39">
        <v>300</v>
      </c>
      <c r="H39">
        <v>2</v>
      </c>
      <c r="I39" t="s">
        <v>41</v>
      </c>
      <c r="J39" t="s">
        <v>36</v>
      </c>
      <c r="K39">
        <v>300</v>
      </c>
    </row>
    <row r="40" spans="1:11" x14ac:dyDescent="0.4">
      <c r="A40" t="s">
        <v>82</v>
      </c>
      <c r="B40" t="s">
        <v>38</v>
      </c>
      <c r="C40">
        <v>59</v>
      </c>
      <c r="D40" t="s">
        <v>34</v>
      </c>
      <c r="E40">
        <v>5</v>
      </c>
      <c r="F40">
        <v>1</v>
      </c>
      <c r="G40">
        <v>25</v>
      </c>
      <c r="H40">
        <v>3</v>
      </c>
      <c r="I40" t="s">
        <v>39</v>
      </c>
      <c r="J40" t="s">
        <v>36</v>
      </c>
      <c r="K40">
        <v>60</v>
      </c>
    </row>
    <row r="41" spans="1:11" x14ac:dyDescent="0.4">
      <c r="A41" t="s">
        <v>83</v>
      </c>
      <c r="B41" t="s">
        <v>38</v>
      </c>
      <c r="C41">
        <v>40</v>
      </c>
      <c r="D41" t="s">
        <v>52</v>
      </c>
      <c r="E41">
        <v>5</v>
      </c>
      <c r="F41">
        <v>1</v>
      </c>
      <c r="G41">
        <v>21</v>
      </c>
      <c r="H41">
        <v>3</v>
      </c>
      <c r="I41" t="s">
        <v>39</v>
      </c>
      <c r="J41" t="s">
        <v>36</v>
      </c>
      <c r="K41">
        <v>270</v>
      </c>
    </row>
    <row r="42" spans="1:11" x14ac:dyDescent="0.4">
      <c r="A42" t="s">
        <v>84</v>
      </c>
      <c r="B42" t="s">
        <v>38</v>
      </c>
      <c r="C42">
        <v>40</v>
      </c>
      <c r="D42" t="s">
        <v>34</v>
      </c>
      <c r="E42">
        <v>6</v>
      </c>
      <c r="F42">
        <v>0.5</v>
      </c>
      <c r="G42">
        <v>20</v>
      </c>
      <c r="H42">
        <v>2</v>
      </c>
      <c r="I42" t="s">
        <v>41</v>
      </c>
      <c r="J42" t="s">
        <v>42</v>
      </c>
      <c r="K42">
        <v>180</v>
      </c>
    </row>
    <row r="43" spans="1:11" x14ac:dyDescent="0.4">
      <c r="A43" t="s">
        <v>85</v>
      </c>
      <c r="B43" t="s">
        <v>38</v>
      </c>
      <c r="C43">
        <v>42</v>
      </c>
      <c r="D43" t="s">
        <v>34</v>
      </c>
      <c r="E43">
        <v>4</v>
      </c>
      <c r="F43">
        <v>0.25</v>
      </c>
      <c r="G43">
        <v>50</v>
      </c>
      <c r="H43">
        <v>2</v>
      </c>
      <c r="I43" t="s">
        <v>35</v>
      </c>
      <c r="J43" t="s">
        <v>36</v>
      </c>
      <c r="K43">
        <v>270</v>
      </c>
    </row>
    <row r="44" spans="1:11" x14ac:dyDescent="0.4">
      <c r="A44" t="s">
        <v>86</v>
      </c>
      <c r="B44" t="s">
        <v>38</v>
      </c>
      <c r="C44">
        <v>24</v>
      </c>
      <c r="D44" t="s">
        <v>52</v>
      </c>
      <c r="E44">
        <v>6</v>
      </c>
      <c r="F44">
        <v>1</v>
      </c>
      <c r="G44">
        <v>100</v>
      </c>
      <c r="H44">
        <v>2</v>
      </c>
      <c r="I44" t="s">
        <v>39</v>
      </c>
      <c r="J44" t="s">
        <v>36</v>
      </c>
      <c r="K44">
        <v>450</v>
      </c>
    </row>
    <row r="45" spans="1:11" x14ac:dyDescent="0.4">
      <c r="A45" t="s">
        <v>87</v>
      </c>
      <c r="B45" t="s">
        <v>33</v>
      </c>
      <c r="C45">
        <v>46</v>
      </c>
      <c r="D45" t="s">
        <v>52</v>
      </c>
      <c r="E45">
        <v>3</v>
      </c>
      <c r="F45">
        <v>1</v>
      </c>
      <c r="G45">
        <v>50</v>
      </c>
      <c r="H45">
        <v>4</v>
      </c>
      <c r="I45" t="s">
        <v>39</v>
      </c>
      <c r="J45" t="s">
        <v>42</v>
      </c>
      <c r="K45">
        <v>180</v>
      </c>
    </row>
    <row r="46" spans="1:11" x14ac:dyDescent="0.4">
      <c r="A46" t="s">
        <v>88</v>
      </c>
      <c r="B46" t="s">
        <v>38</v>
      </c>
      <c r="C46">
        <v>44</v>
      </c>
      <c r="D46" t="s">
        <v>52</v>
      </c>
      <c r="E46">
        <v>6</v>
      </c>
      <c r="F46">
        <v>1</v>
      </c>
      <c r="G46">
        <v>20</v>
      </c>
      <c r="H46">
        <v>3</v>
      </c>
      <c r="I46" t="s">
        <v>41</v>
      </c>
      <c r="J46" t="s">
        <v>36</v>
      </c>
      <c r="K46">
        <v>200</v>
      </c>
    </row>
    <row r="47" spans="1:11" x14ac:dyDescent="0.4">
      <c r="A47" t="s">
        <v>89</v>
      </c>
      <c r="B47" t="s">
        <v>38</v>
      </c>
      <c r="C47">
        <v>52</v>
      </c>
      <c r="D47" t="s">
        <v>34</v>
      </c>
      <c r="E47">
        <v>2</v>
      </c>
      <c r="F47">
        <v>0.5</v>
      </c>
      <c r="G47">
        <v>20</v>
      </c>
      <c r="H47">
        <v>3</v>
      </c>
      <c r="I47" t="s">
        <v>41</v>
      </c>
      <c r="J47" t="s">
        <v>42</v>
      </c>
      <c r="K47">
        <v>100</v>
      </c>
    </row>
    <row r="48" spans="1:11" x14ac:dyDescent="0.4">
      <c r="A48" t="s">
        <v>90</v>
      </c>
      <c r="B48" t="s">
        <v>38</v>
      </c>
      <c r="C48">
        <v>72</v>
      </c>
      <c r="D48" t="s">
        <v>34</v>
      </c>
      <c r="E48">
        <v>7</v>
      </c>
      <c r="F48">
        <v>0.25</v>
      </c>
      <c r="G48">
        <v>24</v>
      </c>
      <c r="H48">
        <v>3</v>
      </c>
      <c r="I48" t="s">
        <v>35</v>
      </c>
      <c r="J48" t="s">
        <v>36</v>
      </c>
      <c r="K48">
        <v>50</v>
      </c>
    </row>
    <row r="49" spans="1:11" x14ac:dyDescent="0.4">
      <c r="A49" t="s">
        <v>91</v>
      </c>
      <c r="B49" t="s">
        <v>38</v>
      </c>
      <c r="C49">
        <v>54</v>
      </c>
      <c r="D49" t="s">
        <v>52</v>
      </c>
      <c r="E49">
        <v>4</v>
      </c>
      <c r="F49">
        <v>1</v>
      </c>
      <c r="G49">
        <v>50</v>
      </c>
      <c r="H49">
        <v>2</v>
      </c>
      <c r="I49" t="s">
        <v>41</v>
      </c>
      <c r="J49" t="s">
        <v>36</v>
      </c>
      <c r="K49">
        <v>90</v>
      </c>
    </row>
    <row r="50" spans="1:11" x14ac:dyDescent="0.4">
      <c r="A50" t="s">
        <v>92</v>
      </c>
      <c r="B50" t="s">
        <v>38</v>
      </c>
      <c r="C50">
        <v>48</v>
      </c>
      <c r="D50" t="s">
        <v>52</v>
      </c>
      <c r="E50">
        <v>5</v>
      </c>
      <c r="F50">
        <v>0.25</v>
      </c>
      <c r="G50">
        <v>90</v>
      </c>
      <c r="H50">
        <v>3</v>
      </c>
      <c r="I50" t="s">
        <v>39</v>
      </c>
      <c r="J50" t="s">
        <v>36</v>
      </c>
      <c r="K50">
        <v>180</v>
      </c>
    </row>
    <row r="51" spans="1:11" x14ac:dyDescent="0.4">
      <c r="A51" t="s">
        <v>93</v>
      </c>
      <c r="B51" t="s">
        <v>38</v>
      </c>
      <c r="C51">
        <v>38</v>
      </c>
      <c r="D51" t="s">
        <v>34</v>
      </c>
      <c r="E51">
        <v>4</v>
      </c>
      <c r="F51">
        <v>2</v>
      </c>
      <c r="G51">
        <v>50</v>
      </c>
      <c r="H51">
        <v>2</v>
      </c>
      <c r="I51" t="s">
        <v>35</v>
      </c>
      <c r="J51" t="s">
        <v>36</v>
      </c>
      <c r="K51">
        <v>270</v>
      </c>
    </row>
    <row r="52" spans="1:11" x14ac:dyDescent="0.4">
      <c r="A52" t="s">
        <v>94</v>
      </c>
      <c r="B52" t="s">
        <v>38</v>
      </c>
      <c r="C52">
        <v>44</v>
      </c>
      <c r="D52" t="s">
        <v>52</v>
      </c>
      <c r="E52">
        <v>3</v>
      </c>
      <c r="F52">
        <v>1.5</v>
      </c>
      <c r="G52">
        <v>150</v>
      </c>
      <c r="H52">
        <v>2</v>
      </c>
      <c r="I52" t="s">
        <v>41</v>
      </c>
      <c r="J52" t="s">
        <v>36</v>
      </c>
      <c r="K52">
        <v>330</v>
      </c>
    </row>
    <row r="53" spans="1:11" x14ac:dyDescent="0.4">
      <c r="A53" t="s">
        <v>95</v>
      </c>
      <c r="B53" t="s">
        <v>33</v>
      </c>
      <c r="C53">
        <v>49</v>
      </c>
      <c r="D53" t="s">
        <v>34</v>
      </c>
      <c r="E53">
        <v>1</v>
      </c>
      <c r="F53">
        <v>0.25</v>
      </c>
      <c r="G53">
        <v>50</v>
      </c>
      <c r="H53">
        <v>3</v>
      </c>
      <c r="I53" t="s">
        <v>41</v>
      </c>
      <c r="J53" t="s">
        <v>36</v>
      </c>
      <c r="K53">
        <v>180</v>
      </c>
    </row>
    <row r="54" spans="1:11" x14ac:dyDescent="0.4">
      <c r="A54" t="s">
        <v>96</v>
      </c>
      <c r="B54" t="s">
        <v>33</v>
      </c>
      <c r="C54">
        <v>22</v>
      </c>
      <c r="D54" t="s">
        <v>34</v>
      </c>
      <c r="E54">
        <v>6</v>
      </c>
      <c r="F54">
        <v>1</v>
      </c>
      <c r="G54">
        <v>50</v>
      </c>
      <c r="H54">
        <v>5</v>
      </c>
      <c r="I54" t="s">
        <v>41</v>
      </c>
      <c r="J54" t="s">
        <v>36</v>
      </c>
      <c r="K54">
        <v>360</v>
      </c>
    </row>
    <row r="55" spans="1:11" x14ac:dyDescent="0.4">
      <c r="A55" t="s">
        <v>97</v>
      </c>
      <c r="B55" t="s">
        <v>33</v>
      </c>
      <c r="C55">
        <v>58</v>
      </c>
      <c r="D55" t="s">
        <v>52</v>
      </c>
      <c r="E55">
        <v>4</v>
      </c>
      <c r="F55">
        <v>0.5</v>
      </c>
      <c r="G55">
        <v>50</v>
      </c>
      <c r="H55">
        <v>3</v>
      </c>
      <c r="I55" t="s">
        <v>98</v>
      </c>
      <c r="J55" t="s">
        <v>36</v>
      </c>
      <c r="K55">
        <v>100</v>
      </c>
    </row>
    <row r="56" spans="1:11" x14ac:dyDescent="0.4">
      <c r="A56" t="s">
        <v>99</v>
      </c>
      <c r="B56" t="s">
        <v>38</v>
      </c>
      <c r="C56">
        <v>46</v>
      </c>
      <c r="D56" t="s">
        <v>100</v>
      </c>
      <c r="E56">
        <v>5</v>
      </c>
      <c r="F56">
        <v>1</v>
      </c>
      <c r="G56">
        <v>50</v>
      </c>
      <c r="H56">
        <v>4</v>
      </c>
      <c r="I56" t="s">
        <v>39</v>
      </c>
      <c r="J56" t="s">
        <v>42</v>
      </c>
      <c r="K56">
        <v>180</v>
      </c>
    </row>
    <row r="57" spans="1:11" x14ac:dyDescent="0.4">
      <c r="A57" t="s">
        <v>101</v>
      </c>
      <c r="B57" t="s">
        <v>33</v>
      </c>
      <c r="C57">
        <v>28</v>
      </c>
      <c r="D57" t="s">
        <v>52</v>
      </c>
      <c r="E57">
        <v>8</v>
      </c>
      <c r="F57">
        <v>1.5</v>
      </c>
      <c r="G57">
        <v>25</v>
      </c>
      <c r="H57">
        <v>3</v>
      </c>
      <c r="I57" t="s">
        <v>41</v>
      </c>
      <c r="J57" t="s">
        <v>36</v>
      </c>
      <c r="K57">
        <v>450</v>
      </c>
    </row>
    <row r="58" spans="1:11" x14ac:dyDescent="0.4">
      <c r="A58" t="s">
        <v>102</v>
      </c>
      <c r="B58" t="s">
        <v>38</v>
      </c>
      <c r="C58">
        <v>41</v>
      </c>
      <c r="D58" t="s">
        <v>34</v>
      </c>
      <c r="E58">
        <v>3</v>
      </c>
      <c r="F58">
        <v>1</v>
      </c>
      <c r="G58">
        <v>25</v>
      </c>
      <c r="H58">
        <v>2</v>
      </c>
      <c r="I58" t="s">
        <v>41</v>
      </c>
      <c r="J58" t="s">
        <v>36</v>
      </c>
      <c r="K58">
        <v>180</v>
      </c>
    </row>
    <row r="59" spans="1:11" x14ac:dyDescent="0.4">
      <c r="A59" t="s">
        <v>103</v>
      </c>
      <c r="B59" t="s">
        <v>33</v>
      </c>
      <c r="C59">
        <v>21</v>
      </c>
      <c r="D59" t="s">
        <v>34</v>
      </c>
      <c r="E59">
        <v>4</v>
      </c>
      <c r="F59">
        <v>1.5</v>
      </c>
      <c r="G59">
        <v>40</v>
      </c>
      <c r="H59">
        <v>2</v>
      </c>
      <c r="I59" t="s">
        <v>39</v>
      </c>
      <c r="J59" t="s">
        <v>42</v>
      </c>
      <c r="K59">
        <v>440</v>
      </c>
    </row>
    <row r="60" spans="1:11" x14ac:dyDescent="0.4">
      <c r="A60" t="s">
        <v>104</v>
      </c>
      <c r="B60" t="s">
        <v>38</v>
      </c>
      <c r="C60">
        <v>30</v>
      </c>
      <c r="D60" t="s">
        <v>34</v>
      </c>
      <c r="E60">
        <v>4</v>
      </c>
      <c r="F60">
        <v>0.5</v>
      </c>
      <c r="G60">
        <v>30</v>
      </c>
      <c r="H60">
        <v>2</v>
      </c>
      <c r="I60" t="s">
        <v>35</v>
      </c>
      <c r="J60" t="s">
        <v>36</v>
      </c>
      <c r="K60">
        <v>360</v>
      </c>
    </row>
    <row r="61" spans="1:11" x14ac:dyDescent="0.4">
      <c r="A61" t="s">
        <v>105</v>
      </c>
      <c r="B61" t="s">
        <v>38</v>
      </c>
      <c r="C61">
        <v>49</v>
      </c>
      <c r="D61" t="s">
        <v>52</v>
      </c>
      <c r="E61">
        <v>2</v>
      </c>
      <c r="F61">
        <v>1</v>
      </c>
      <c r="G61">
        <v>30</v>
      </c>
      <c r="H61">
        <v>4</v>
      </c>
      <c r="I61" t="s">
        <v>35</v>
      </c>
      <c r="J61" t="s">
        <v>36</v>
      </c>
      <c r="K61">
        <v>180</v>
      </c>
    </row>
    <row r="62" spans="1:11" x14ac:dyDescent="0.4">
      <c r="A62" t="s">
        <v>106</v>
      </c>
      <c r="B62" t="s">
        <v>33</v>
      </c>
      <c r="C62">
        <v>53</v>
      </c>
      <c r="D62" t="s">
        <v>34</v>
      </c>
      <c r="E62">
        <v>5</v>
      </c>
      <c r="F62">
        <v>0.25</v>
      </c>
      <c r="G62">
        <v>200</v>
      </c>
      <c r="H62">
        <v>2</v>
      </c>
      <c r="I62" t="s">
        <v>39</v>
      </c>
      <c r="J62" t="s">
        <v>42</v>
      </c>
      <c r="K62">
        <v>135</v>
      </c>
    </row>
    <row r="63" spans="1:11" x14ac:dyDescent="0.4">
      <c r="A63" t="s">
        <v>107</v>
      </c>
      <c r="B63" t="s">
        <v>33</v>
      </c>
      <c r="C63">
        <v>23</v>
      </c>
      <c r="D63" t="s">
        <v>52</v>
      </c>
      <c r="E63">
        <v>4</v>
      </c>
      <c r="F63">
        <v>0.75</v>
      </c>
      <c r="G63">
        <v>50</v>
      </c>
      <c r="H63">
        <v>2</v>
      </c>
      <c r="I63" t="s">
        <v>35</v>
      </c>
      <c r="J63" t="s">
        <v>36</v>
      </c>
      <c r="K63">
        <v>360</v>
      </c>
    </row>
    <row r="64" spans="1:11" x14ac:dyDescent="0.4">
      <c r="A64" t="s">
        <v>108</v>
      </c>
      <c r="B64" t="s">
        <v>38</v>
      </c>
      <c r="C64">
        <v>46</v>
      </c>
      <c r="D64" t="s">
        <v>52</v>
      </c>
      <c r="E64">
        <v>5</v>
      </c>
      <c r="F64">
        <v>1</v>
      </c>
      <c r="G64">
        <v>50</v>
      </c>
      <c r="H64">
        <v>2</v>
      </c>
      <c r="I64" t="s">
        <v>39</v>
      </c>
      <c r="J64" t="s">
        <v>36</v>
      </c>
      <c r="K64">
        <v>90</v>
      </c>
    </row>
    <row r="65" spans="1:11" x14ac:dyDescent="0.4">
      <c r="A65" t="s">
        <v>109</v>
      </c>
      <c r="B65" t="s">
        <v>38</v>
      </c>
      <c r="C65">
        <v>36</v>
      </c>
      <c r="D65" t="s">
        <v>34</v>
      </c>
      <c r="E65">
        <v>4</v>
      </c>
      <c r="F65">
        <v>0.5</v>
      </c>
      <c r="G65">
        <v>20</v>
      </c>
      <c r="H65">
        <v>4</v>
      </c>
      <c r="I65" t="s">
        <v>35</v>
      </c>
      <c r="J65" t="s">
        <v>36</v>
      </c>
      <c r="K65">
        <v>180</v>
      </c>
    </row>
    <row r="66" spans="1:11" x14ac:dyDescent="0.4">
      <c r="A66" t="s">
        <v>110</v>
      </c>
      <c r="B66" t="s">
        <v>38</v>
      </c>
      <c r="C66">
        <v>19</v>
      </c>
      <c r="D66" t="s">
        <v>34</v>
      </c>
      <c r="E66">
        <v>2</v>
      </c>
      <c r="F66">
        <v>2</v>
      </c>
      <c r="G66">
        <v>40</v>
      </c>
      <c r="H66">
        <v>4</v>
      </c>
      <c r="I66" t="s">
        <v>41</v>
      </c>
      <c r="J66" t="s">
        <v>36</v>
      </c>
      <c r="K66">
        <v>400</v>
      </c>
    </row>
    <row r="67" spans="1:11" x14ac:dyDescent="0.4">
      <c r="A67" t="s">
        <v>111</v>
      </c>
      <c r="B67" t="s">
        <v>33</v>
      </c>
      <c r="C67">
        <v>52</v>
      </c>
      <c r="D67" t="s">
        <v>52</v>
      </c>
      <c r="E67">
        <v>6</v>
      </c>
      <c r="F67">
        <v>0.75</v>
      </c>
      <c r="G67">
        <v>25</v>
      </c>
      <c r="H67">
        <v>3</v>
      </c>
      <c r="I67" t="s">
        <v>35</v>
      </c>
      <c r="J67" t="s">
        <v>36</v>
      </c>
      <c r="K67">
        <v>100</v>
      </c>
    </row>
    <row r="68" spans="1:11" x14ac:dyDescent="0.4">
      <c r="A68" t="s">
        <v>112</v>
      </c>
      <c r="B68" t="s">
        <v>38</v>
      </c>
      <c r="C68">
        <v>40</v>
      </c>
      <c r="D68" t="s">
        <v>34</v>
      </c>
      <c r="E68">
        <v>5</v>
      </c>
      <c r="F68">
        <v>1</v>
      </c>
      <c r="G68">
        <v>100</v>
      </c>
      <c r="H68">
        <v>2</v>
      </c>
      <c r="I68" t="s">
        <v>50</v>
      </c>
      <c r="J68" t="s">
        <v>42</v>
      </c>
      <c r="K68">
        <v>360</v>
      </c>
    </row>
    <row r="69" spans="1:11" x14ac:dyDescent="0.4">
      <c r="A69" t="s">
        <v>113</v>
      </c>
      <c r="B69" t="s">
        <v>38</v>
      </c>
      <c r="C69">
        <v>49</v>
      </c>
      <c r="D69" t="s">
        <v>34</v>
      </c>
      <c r="E69">
        <v>2</v>
      </c>
      <c r="F69">
        <v>0.25</v>
      </c>
      <c r="G69">
        <v>50</v>
      </c>
      <c r="H69">
        <v>2</v>
      </c>
      <c r="I69" t="s">
        <v>41</v>
      </c>
      <c r="J69" t="s">
        <v>42</v>
      </c>
      <c r="K69">
        <v>180</v>
      </c>
    </row>
    <row r="70" spans="1:11" x14ac:dyDescent="0.4">
      <c r="A70" t="s">
        <v>114</v>
      </c>
      <c r="B70" t="s">
        <v>33</v>
      </c>
      <c r="C70">
        <v>26</v>
      </c>
      <c r="D70" t="s">
        <v>34</v>
      </c>
      <c r="E70">
        <v>5</v>
      </c>
      <c r="F70">
        <v>1.5</v>
      </c>
      <c r="G70">
        <v>25</v>
      </c>
      <c r="H70">
        <v>2</v>
      </c>
      <c r="I70" t="s">
        <v>35</v>
      </c>
      <c r="J70" t="s">
        <v>36</v>
      </c>
      <c r="K70">
        <v>360</v>
      </c>
    </row>
    <row r="71" spans="1:11" x14ac:dyDescent="0.4">
      <c r="A71" t="s">
        <v>115</v>
      </c>
      <c r="B71" t="s">
        <v>38</v>
      </c>
      <c r="C71">
        <v>42</v>
      </c>
      <c r="D71" t="s">
        <v>52</v>
      </c>
      <c r="E71">
        <v>3</v>
      </c>
      <c r="F71">
        <v>0.5</v>
      </c>
      <c r="G71">
        <v>120</v>
      </c>
      <c r="H71">
        <v>2</v>
      </c>
      <c r="I71" t="s">
        <v>41</v>
      </c>
      <c r="J71" t="s">
        <v>36</v>
      </c>
      <c r="K71">
        <v>270</v>
      </c>
    </row>
    <row r="72" spans="1:11" x14ac:dyDescent="0.4">
      <c r="A72" t="s">
        <v>116</v>
      </c>
      <c r="B72" t="s">
        <v>33</v>
      </c>
      <c r="C72">
        <v>45</v>
      </c>
      <c r="D72" t="s">
        <v>52</v>
      </c>
      <c r="E72">
        <v>9</v>
      </c>
      <c r="F72">
        <v>0.5</v>
      </c>
      <c r="G72">
        <v>50</v>
      </c>
      <c r="H72">
        <v>3</v>
      </c>
      <c r="I72" t="s">
        <v>98</v>
      </c>
      <c r="J72" t="s">
        <v>36</v>
      </c>
      <c r="K72">
        <v>270</v>
      </c>
    </row>
    <row r="73" spans="1:11" x14ac:dyDescent="0.4">
      <c r="A73" t="s">
        <v>117</v>
      </c>
      <c r="B73" t="s">
        <v>38</v>
      </c>
      <c r="C73">
        <v>29</v>
      </c>
      <c r="D73" t="s">
        <v>52</v>
      </c>
      <c r="E73">
        <v>5</v>
      </c>
      <c r="F73">
        <v>1</v>
      </c>
      <c r="G73">
        <v>20</v>
      </c>
      <c r="H73">
        <v>2</v>
      </c>
      <c r="I73" t="s">
        <v>39</v>
      </c>
      <c r="J73" t="s">
        <v>36</v>
      </c>
      <c r="K73">
        <v>360</v>
      </c>
    </row>
    <row r="74" spans="1:11" x14ac:dyDescent="0.4">
      <c r="A74" t="s">
        <v>118</v>
      </c>
      <c r="B74" t="s">
        <v>38</v>
      </c>
      <c r="C74">
        <v>50</v>
      </c>
      <c r="D74" t="s">
        <v>34</v>
      </c>
      <c r="E74">
        <v>3</v>
      </c>
      <c r="F74">
        <v>0.5</v>
      </c>
      <c r="G74">
        <v>40</v>
      </c>
      <c r="H74">
        <v>4</v>
      </c>
      <c r="I74" t="s">
        <v>39</v>
      </c>
      <c r="J74" t="s">
        <v>36</v>
      </c>
      <c r="K74">
        <v>115</v>
      </c>
    </row>
    <row r="75" spans="1:11" x14ac:dyDescent="0.4">
      <c r="A75" t="s">
        <v>119</v>
      </c>
      <c r="B75" t="s">
        <v>38</v>
      </c>
      <c r="C75">
        <v>43</v>
      </c>
      <c r="D75" t="s">
        <v>34</v>
      </c>
      <c r="E75">
        <v>4</v>
      </c>
      <c r="F75">
        <v>0.25</v>
      </c>
      <c r="G75">
        <v>20</v>
      </c>
      <c r="H75">
        <v>3</v>
      </c>
      <c r="I75" t="s">
        <v>35</v>
      </c>
      <c r="J75" t="s">
        <v>36</v>
      </c>
      <c r="K75">
        <v>180</v>
      </c>
    </row>
    <row r="76" spans="1:11" x14ac:dyDescent="0.4">
      <c r="A76" t="s">
        <v>120</v>
      </c>
      <c r="B76" t="s">
        <v>38</v>
      </c>
      <c r="C76">
        <v>54</v>
      </c>
      <c r="D76" t="s">
        <v>52</v>
      </c>
      <c r="E76">
        <v>5</v>
      </c>
      <c r="F76">
        <v>0.5</v>
      </c>
      <c r="G76">
        <v>100</v>
      </c>
      <c r="H76">
        <v>3</v>
      </c>
      <c r="I76" t="s">
        <v>39</v>
      </c>
      <c r="J76" t="s">
        <v>36</v>
      </c>
      <c r="K76">
        <v>180</v>
      </c>
    </row>
    <row r="77" spans="1:11" x14ac:dyDescent="0.4">
      <c r="A77" t="s">
        <v>121</v>
      </c>
      <c r="B77" t="s">
        <v>38</v>
      </c>
      <c r="C77">
        <v>24</v>
      </c>
      <c r="D77" t="s">
        <v>52</v>
      </c>
      <c r="E77">
        <v>4</v>
      </c>
      <c r="F77">
        <v>3</v>
      </c>
      <c r="G77">
        <v>60</v>
      </c>
      <c r="H77">
        <v>2</v>
      </c>
      <c r="I77" t="s">
        <v>35</v>
      </c>
      <c r="J77" t="s">
        <v>42</v>
      </c>
      <c r="K77">
        <v>540</v>
      </c>
    </row>
    <row r="78" spans="1:11" x14ac:dyDescent="0.4">
      <c r="A78" t="s">
        <v>122</v>
      </c>
      <c r="B78" t="s">
        <v>38</v>
      </c>
      <c r="C78">
        <v>52</v>
      </c>
      <c r="D78" t="s">
        <v>34</v>
      </c>
      <c r="E78">
        <v>4</v>
      </c>
      <c r="F78">
        <v>1</v>
      </c>
      <c r="G78">
        <v>50</v>
      </c>
      <c r="H78">
        <v>2</v>
      </c>
      <c r="I78" t="s">
        <v>39</v>
      </c>
      <c r="J78" t="s">
        <v>42</v>
      </c>
      <c r="K78">
        <v>150</v>
      </c>
    </row>
    <row r="79" spans="1:11" x14ac:dyDescent="0.4">
      <c r="A79" t="s">
        <v>123</v>
      </c>
      <c r="B79" t="s">
        <v>38</v>
      </c>
      <c r="C79">
        <v>38</v>
      </c>
      <c r="D79" t="s">
        <v>34</v>
      </c>
      <c r="E79">
        <v>3</v>
      </c>
      <c r="F79">
        <v>1</v>
      </c>
      <c r="G79">
        <v>30</v>
      </c>
      <c r="H79">
        <v>3</v>
      </c>
      <c r="I79" t="s">
        <v>50</v>
      </c>
      <c r="J79" t="s">
        <v>42</v>
      </c>
      <c r="K79">
        <v>200</v>
      </c>
    </row>
    <row r="80" spans="1:11" x14ac:dyDescent="0.4">
      <c r="A80" t="s">
        <v>124</v>
      </c>
      <c r="B80" t="s">
        <v>38</v>
      </c>
      <c r="C80">
        <v>45</v>
      </c>
      <c r="D80" t="s">
        <v>34</v>
      </c>
      <c r="E80">
        <v>5</v>
      </c>
      <c r="F80">
        <v>0.25</v>
      </c>
      <c r="G80">
        <v>50</v>
      </c>
      <c r="H80">
        <v>2</v>
      </c>
      <c r="I80" t="s">
        <v>39</v>
      </c>
      <c r="J80" t="s">
        <v>36</v>
      </c>
      <c r="K80">
        <v>270</v>
      </c>
    </row>
    <row r="81" spans="1:11" x14ac:dyDescent="0.4">
      <c r="A81" t="s">
        <v>125</v>
      </c>
      <c r="B81" t="s">
        <v>33</v>
      </c>
      <c r="C81">
        <v>43</v>
      </c>
      <c r="D81" t="s">
        <v>52</v>
      </c>
      <c r="E81">
        <v>2</v>
      </c>
      <c r="F81">
        <v>1</v>
      </c>
      <c r="G81">
        <v>50</v>
      </c>
      <c r="H81">
        <v>3</v>
      </c>
      <c r="I81" t="s">
        <v>50</v>
      </c>
      <c r="J81" t="s">
        <v>42</v>
      </c>
      <c r="K81">
        <v>200</v>
      </c>
    </row>
    <row r="82" spans="1:11" x14ac:dyDescent="0.4">
      <c r="A82" t="s">
        <v>126</v>
      </c>
      <c r="B82" t="s">
        <v>38</v>
      </c>
      <c r="C82">
        <v>40</v>
      </c>
      <c r="D82" t="s">
        <v>52</v>
      </c>
      <c r="E82">
        <v>5</v>
      </c>
      <c r="F82">
        <v>0.5</v>
      </c>
      <c r="G82">
        <v>20</v>
      </c>
      <c r="H82">
        <v>4</v>
      </c>
      <c r="I82" t="s">
        <v>41</v>
      </c>
      <c r="J82" t="s">
        <v>36</v>
      </c>
      <c r="K82">
        <v>180</v>
      </c>
    </row>
    <row r="83" spans="1:11" x14ac:dyDescent="0.4">
      <c r="A83" t="s">
        <v>127</v>
      </c>
      <c r="B83" t="s">
        <v>38</v>
      </c>
      <c r="C83">
        <v>44</v>
      </c>
      <c r="D83" t="s">
        <v>52</v>
      </c>
      <c r="E83">
        <v>6</v>
      </c>
      <c r="F83">
        <v>0.25</v>
      </c>
      <c r="G83">
        <v>50</v>
      </c>
      <c r="H83">
        <v>5</v>
      </c>
      <c r="I83" t="s">
        <v>35</v>
      </c>
      <c r="J83" t="s">
        <v>36</v>
      </c>
      <c r="K83">
        <v>270</v>
      </c>
    </row>
    <row r="84" spans="1:11" x14ac:dyDescent="0.4">
      <c r="A84" t="s">
        <v>128</v>
      </c>
      <c r="B84" t="s">
        <v>33</v>
      </c>
      <c r="C84">
        <v>54</v>
      </c>
      <c r="D84" t="s">
        <v>34</v>
      </c>
      <c r="E84">
        <v>5</v>
      </c>
      <c r="F84">
        <v>1</v>
      </c>
      <c r="G84">
        <v>50</v>
      </c>
      <c r="H84">
        <v>3</v>
      </c>
      <c r="I84" t="s">
        <v>35</v>
      </c>
      <c r="J84" t="s">
        <v>36</v>
      </c>
      <c r="K84">
        <v>150</v>
      </c>
    </row>
    <row r="85" spans="1:11" x14ac:dyDescent="0.4">
      <c r="A85" t="s">
        <v>129</v>
      </c>
      <c r="B85" t="s">
        <v>38</v>
      </c>
      <c r="C85">
        <v>75</v>
      </c>
      <c r="D85" t="s">
        <v>34</v>
      </c>
      <c r="E85">
        <v>7</v>
      </c>
      <c r="F85">
        <v>0.5</v>
      </c>
      <c r="G85">
        <v>50</v>
      </c>
      <c r="H85">
        <v>3</v>
      </c>
      <c r="I85" t="s">
        <v>35</v>
      </c>
      <c r="J85" t="s">
        <v>36</v>
      </c>
      <c r="K85">
        <v>90</v>
      </c>
    </row>
    <row r="86" spans="1:11" x14ac:dyDescent="0.4">
      <c r="A86" t="s">
        <v>130</v>
      </c>
      <c r="B86" t="s">
        <v>38</v>
      </c>
      <c r="C86">
        <v>51</v>
      </c>
      <c r="D86" t="s">
        <v>52</v>
      </c>
      <c r="E86">
        <v>2</v>
      </c>
      <c r="F86">
        <v>0.25</v>
      </c>
      <c r="G86">
        <v>20</v>
      </c>
      <c r="H86">
        <v>3</v>
      </c>
      <c r="I86" t="s">
        <v>35</v>
      </c>
      <c r="J86" t="s">
        <v>36</v>
      </c>
      <c r="K86">
        <v>135</v>
      </c>
    </row>
    <row r="87" spans="1:11" x14ac:dyDescent="0.4">
      <c r="A87" t="s">
        <v>131</v>
      </c>
      <c r="B87" t="s">
        <v>38</v>
      </c>
      <c r="C87">
        <v>69</v>
      </c>
      <c r="D87" t="s">
        <v>34</v>
      </c>
      <c r="E87">
        <v>6</v>
      </c>
      <c r="F87">
        <v>0.25</v>
      </c>
      <c r="G87">
        <v>25</v>
      </c>
      <c r="H87">
        <v>3</v>
      </c>
      <c r="I87" t="s">
        <v>50</v>
      </c>
      <c r="J87" t="s">
        <v>42</v>
      </c>
      <c r="K87">
        <v>90</v>
      </c>
    </row>
    <row r="88" spans="1:11" x14ac:dyDescent="0.4">
      <c r="A88" t="s">
        <v>132</v>
      </c>
      <c r="B88" t="s">
        <v>38</v>
      </c>
      <c r="C88">
        <v>31</v>
      </c>
      <c r="D88" t="s">
        <v>34</v>
      </c>
      <c r="E88">
        <v>5</v>
      </c>
      <c r="F88">
        <v>0.5</v>
      </c>
      <c r="G88">
        <v>100</v>
      </c>
      <c r="H88">
        <v>3</v>
      </c>
      <c r="I88" t="s">
        <v>41</v>
      </c>
      <c r="J88" t="s">
        <v>36</v>
      </c>
      <c r="K88">
        <v>500</v>
      </c>
    </row>
    <row r="89" spans="1:11" x14ac:dyDescent="0.4">
      <c r="A89" t="s">
        <v>133</v>
      </c>
      <c r="B89" t="s">
        <v>38</v>
      </c>
      <c r="C89">
        <v>41</v>
      </c>
      <c r="D89" t="s">
        <v>34</v>
      </c>
      <c r="E89">
        <v>6</v>
      </c>
      <c r="F89">
        <v>0.75</v>
      </c>
      <c r="G89">
        <v>50</v>
      </c>
      <c r="H89">
        <v>2</v>
      </c>
      <c r="I89" t="s">
        <v>41</v>
      </c>
      <c r="J89" t="s">
        <v>42</v>
      </c>
      <c r="K89">
        <v>270</v>
      </c>
    </row>
    <row r="90" spans="1:11" x14ac:dyDescent="0.4">
      <c r="A90" t="s">
        <v>134</v>
      </c>
      <c r="B90" t="s">
        <v>38</v>
      </c>
      <c r="C90">
        <v>47</v>
      </c>
      <c r="D90" t="s">
        <v>34</v>
      </c>
      <c r="E90">
        <v>2</v>
      </c>
      <c r="F90">
        <v>0.25</v>
      </c>
      <c r="G90">
        <v>50</v>
      </c>
      <c r="H90">
        <v>3</v>
      </c>
      <c r="I90" t="s">
        <v>39</v>
      </c>
      <c r="J90" t="s">
        <v>36</v>
      </c>
      <c r="K90">
        <v>180</v>
      </c>
    </row>
    <row r="91" spans="1:11" x14ac:dyDescent="0.4">
      <c r="A91" t="s">
        <v>135</v>
      </c>
      <c r="B91" t="s">
        <v>38</v>
      </c>
      <c r="C91">
        <v>19</v>
      </c>
      <c r="D91" t="s">
        <v>52</v>
      </c>
      <c r="E91">
        <v>5</v>
      </c>
      <c r="F91">
        <v>2</v>
      </c>
      <c r="G91">
        <v>150</v>
      </c>
      <c r="H91">
        <v>2</v>
      </c>
      <c r="I91" t="s">
        <v>41</v>
      </c>
      <c r="J91" t="s">
        <v>36</v>
      </c>
      <c r="K91">
        <v>550</v>
      </c>
    </row>
    <row r="92" spans="1:11" x14ac:dyDescent="0.4">
      <c r="A92" t="s">
        <v>136</v>
      </c>
      <c r="B92" t="s">
        <v>33</v>
      </c>
      <c r="C92">
        <v>59</v>
      </c>
      <c r="D92" t="s">
        <v>52</v>
      </c>
      <c r="E92">
        <v>4</v>
      </c>
      <c r="F92">
        <v>0.5</v>
      </c>
      <c r="G92">
        <v>100</v>
      </c>
      <c r="H92">
        <v>5</v>
      </c>
      <c r="I92" t="s">
        <v>41</v>
      </c>
      <c r="J92" t="s">
        <v>42</v>
      </c>
      <c r="K92">
        <v>90</v>
      </c>
    </row>
    <row r="93" spans="1:11" x14ac:dyDescent="0.4">
      <c r="A93" t="s">
        <v>137</v>
      </c>
      <c r="B93" t="s">
        <v>33</v>
      </c>
      <c r="C93">
        <v>32</v>
      </c>
      <c r="D93" t="s">
        <v>77</v>
      </c>
      <c r="E93">
        <v>6</v>
      </c>
      <c r="F93">
        <v>0.5</v>
      </c>
      <c r="G93">
        <v>30</v>
      </c>
      <c r="H93">
        <v>3</v>
      </c>
      <c r="I93" t="s">
        <v>41</v>
      </c>
      <c r="J93" t="s">
        <v>42</v>
      </c>
      <c r="K93">
        <v>450</v>
      </c>
    </row>
    <row r="94" spans="1:11" x14ac:dyDescent="0.4">
      <c r="A94" t="s">
        <v>138</v>
      </c>
      <c r="B94" t="s">
        <v>38</v>
      </c>
      <c r="C94">
        <v>19</v>
      </c>
      <c r="D94" t="s">
        <v>52</v>
      </c>
      <c r="E94">
        <v>4</v>
      </c>
      <c r="F94">
        <v>1.5</v>
      </c>
      <c r="G94">
        <v>50</v>
      </c>
      <c r="H94">
        <v>2</v>
      </c>
      <c r="I94" t="s">
        <v>39</v>
      </c>
      <c r="J94" t="s">
        <v>42</v>
      </c>
      <c r="K94">
        <v>360</v>
      </c>
    </row>
    <row r="95" spans="1:11" x14ac:dyDescent="0.4">
      <c r="A95" t="s">
        <v>139</v>
      </c>
      <c r="B95" t="s">
        <v>38</v>
      </c>
      <c r="C95">
        <v>27</v>
      </c>
      <c r="D95" t="s">
        <v>34</v>
      </c>
      <c r="E95">
        <v>4</v>
      </c>
      <c r="F95">
        <v>1</v>
      </c>
      <c r="G95">
        <v>50</v>
      </c>
      <c r="H95">
        <v>3</v>
      </c>
      <c r="I95" t="s">
        <v>35</v>
      </c>
      <c r="J95" t="s">
        <v>42</v>
      </c>
      <c r="K95">
        <v>540</v>
      </c>
    </row>
    <row r="96" spans="1:11" x14ac:dyDescent="0.4">
      <c r="A96" t="s">
        <v>140</v>
      </c>
      <c r="B96" t="s">
        <v>38</v>
      </c>
      <c r="C96">
        <v>53</v>
      </c>
      <c r="D96" t="s">
        <v>34</v>
      </c>
      <c r="E96">
        <v>2</v>
      </c>
      <c r="F96">
        <v>0.75</v>
      </c>
      <c r="G96">
        <v>20</v>
      </c>
      <c r="H96">
        <v>4</v>
      </c>
      <c r="I96" t="s">
        <v>41</v>
      </c>
      <c r="J96" t="s">
        <v>42</v>
      </c>
      <c r="K96">
        <v>100</v>
      </c>
    </row>
    <row r="97" spans="1:11" x14ac:dyDescent="0.4">
      <c r="A97" t="s">
        <v>141</v>
      </c>
      <c r="B97" t="s">
        <v>38</v>
      </c>
      <c r="C97">
        <v>20</v>
      </c>
      <c r="D97" t="s">
        <v>34</v>
      </c>
      <c r="E97">
        <v>2</v>
      </c>
      <c r="F97">
        <v>0.5</v>
      </c>
      <c r="G97">
        <v>40</v>
      </c>
      <c r="H97">
        <v>3</v>
      </c>
      <c r="I97" t="s">
        <v>41</v>
      </c>
      <c r="J97" t="s">
        <v>36</v>
      </c>
      <c r="K97">
        <v>560</v>
      </c>
    </row>
    <row r="98" spans="1:11" x14ac:dyDescent="0.4">
      <c r="A98" t="s">
        <v>142</v>
      </c>
      <c r="B98" t="s">
        <v>33</v>
      </c>
      <c r="C98">
        <v>39</v>
      </c>
      <c r="D98" t="s">
        <v>52</v>
      </c>
      <c r="E98">
        <v>9</v>
      </c>
      <c r="F98">
        <v>0.5</v>
      </c>
      <c r="G98">
        <v>120</v>
      </c>
      <c r="H98">
        <v>3</v>
      </c>
      <c r="I98" t="s">
        <v>98</v>
      </c>
      <c r="J98" t="s">
        <v>36</v>
      </c>
      <c r="K98">
        <v>200</v>
      </c>
    </row>
    <row r="99" spans="1:11" x14ac:dyDescent="0.4">
      <c r="A99" t="s">
        <v>143</v>
      </c>
      <c r="B99" t="s">
        <v>33</v>
      </c>
      <c r="C99">
        <v>29</v>
      </c>
      <c r="D99" t="s">
        <v>52</v>
      </c>
      <c r="E99">
        <v>1</v>
      </c>
      <c r="F99">
        <v>1</v>
      </c>
      <c r="G99">
        <v>50</v>
      </c>
      <c r="H99">
        <v>3</v>
      </c>
      <c r="I99" t="s">
        <v>35</v>
      </c>
      <c r="J99" t="s">
        <v>42</v>
      </c>
      <c r="K99">
        <v>360</v>
      </c>
    </row>
    <row r="100" spans="1:11" x14ac:dyDescent="0.4">
      <c r="A100" t="s">
        <v>144</v>
      </c>
      <c r="B100" t="s">
        <v>38</v>
      </c>
      <c r="C100">
        <v>36</v>
      </c>
      <c r="D100" t="s">
        <v>34</v>
      </c>
      <c r="E100">
        <v>4</v>
      </c>
      <c r="F100">
        <v>0.25</v>
      </c>
      <c r="G100">
        <v>150</v>
      </c>
      <c r="H100">
        <v>3</v>
      </c>
      <c r="I100" t="s">
        <v>35</v>
      </c>
      <c r="J100" t="s">
        <v>36</v>
      </c>
      <c r="K100">
        <v>360</v>
      </c>
    </row>
    <row r="101" spans="1:11" x14ac:dyDescent="0.4">
      <c r="A101" t="s">
        <v>145</v>
      </c>
      <c r="B101" t="s">
        <v>33</v>
      </c>
      <c r="C101">
        <v>18</v>
      </c>
      <c r="D101" t="s">
        <v>34</v>
      </c>
      <c r="E101">
        <v>1</v>
      </c>
      <c r="F101">
        <v>2</v>
      </c>
      <c r="G101">
        <v>100</v>
      </c>
      <c r="H101">
        <v>4</v>
      </c>
      <c r="I101" t="s">
        <v>39</v>
      </c>
      <c r="J101" t="s">
        <v>36</v>
      </c>
      <c r="K101">
        <v>450</v>
      </c>
    </row>
    <row r="102" spans="1:11" x14ac:dyDescent="0.4">
      <c r="A102" t="s">
        <v>146</v>
      </c>
      <c r="B102" t="s">
        <v>38</v>
      </c>
      <c r="C102">
        <v>67</v>
      </c>
      <c r="D102" t="s">
        <v>34</v>
      </c>
      <c r="E102">
        <v>4</v>
      </c>
      <c r="F102">
        <v>0.5</v>
      </c>
      <c r="G102">
        <v>25</v>
      </c>
      <c r="H102">
        <v>2</v>
      </c>
      <c r="I102" t="s">
        <v>35</v>
      </c>
      <c r="J102" t="s">
        <v>36</v>
      </c>
      <c r="K102">
        <v>50</v>
      </c>
    </row>
    <row r="103" spans="1:11" x14ac:dyDescent="0.4">
      <c r="A103" t="s">
        <v>147</v>
      </c>
      <c r="B103" t="s">
        <v>38</v>
      </c>
      <c r="C103">
        <v>56</v>
      </c>
      <c r="D103" t="s">
        <v>34</v>
      </c>
      <c r="E103">
        <v>8</v>
      </c>
      <c r="F103">
        <v>0.5</v>
      </c>
      <c r="G103">
        <v>200</v>
      </c>
      <c r="H103">
        <v>2</v>
      </c>
      <c r="I103" t="s">
        <v>35</v>
      </c>
      <c r="J103" t="s">
        <v>36</v>
      </c>
      <c r="K103">
        <v>100</v>
      </c>
    </row>
    <row r="104" spans="1:11" x14ac:dyDescent="0.4">
      <c r="A104" t="s">
        <v>148</v>
      </c>
      <c r="B104" t="s">
        <v>38</v>
      </c>
      <c r="C104">
        <v>74</v>
      </c>
      <c r="D104" t="s">
        <v>34</v>
      </c>
      <c r="E104">
        <v>4</v>
      </c>
      <c r="F104">
        <v>0.25</v>
      </c>
      <c r="G104">
        <v>30</v>
      </c>
      <c r="H104">
        <v>3</v>
      </c>
      <c r="I104" t="s">
        <v>39</v>
      </c>
      <c r="J104" t="s">
        <v>36</v>
      </c>
      <c r="K104">
        <v>90</v>
      </c>
    </row>
    <row r="105" spans="1:11" x14ac:dyDescent="0.4">
      <c r="A105" t="s">
        <v>149</v>
      </c>
      <c r="B105" t="s">
        <v>38</v>
      </c>
      <c r="C105">
        <v>47</v>
      </c>
      <c r="D105" t="s">
        <v>34</v>
      </c>
      <c r="E105">
        <v>2</v>
      </c>
      <c r="F105">
        <v>1</v>
      </c>
      <c r="G105">
        <v>50</v>
      </c>
      <c r="H105">
        <v>2</v>
      </c>
      <c r="I105" t="s">
        <v>41</v>
      </c>
      <c r="J105" t="s">
        <v>36</v>
      </c>
      <c r="K105">
        <v>90</v>
      </c>
    </row>
    <row r="106" spans="1:11" x14ac:dyDescent="0.4">
      <c r="A106" t="s">
        <v>150</v>
      </c>
      <c r="B106" t="s">
        <v>33</v>
      </c>
      <c r="C106">
        <v>61</v>
      </c>
      <c r="D106" t="s">
        <v>34</v>
      </c>
      <c r="E106">
        <v>3</v>
      </c>
      <c r="F106">
        <v>0.5</v>
      </c>
      <c r="G106">
        <v>50</v>
      </c>
      <c r="H106">
        <v>6</v>
      </c>
      <c r="I106" t="s">
        <v>35</v>
      </c>
      <c r="J106" t="s">
        <v>36</v>
      </c>
      <c r="K106">
        <v>95</v>
      </c>
    </row>
    <row r="107" spans="1:11" x14ac:dyDescent="0.4">
      <c r="A107" t="s">
        <v>151</v>
      </c>
      <c r="B107" t="s">
        <v>38</v>
      </c>
      <c r="C107">
        <v>50</v>
      </c>
      <c r="D107" t="s">
        <v>52</v>
      </c>
      <c r="E107">
        <v>4</v>
      </c>
      <c r="F107">
        <v>0.5</v>
      </c>
      <c r="G107">
        <v>31</v>
      </c>
      <c r="H107">
        <v>3</v>
      </c>
      <c r="I107" t="s">
        <v>35</v>
      </c>
      <c r="J107" t="s">
        <v>36</v>
      </c>
      <c r="K107">
        <v>50</v>
      </c>
    </row>
    <row r="108" spans="1:11" x14ac:dyDescent="0.4">
      <c r="A108" t="s">
        <v>152</v>
      </c>
      <c r="B108" t="s">
        <v>38</v>
      </c>
      <c r="C108">
        <v>48</v>
      </c>
      <c r="D108" t="s">
        <v>34</v>
      </c>
      <c r="E108">
        <v>2</v>
      </c>
      <c r="F108">
        <v>0.5</v>
      </c>
      <c r="G108">
        <v>50</v>
      </c>
      <c r="H108">
        <v>5</v>
      </c>
      <c r="I108" t="s">
        <v>41</v>
      </c>
      <c r="J108" t="s">
        <v>42</v>
      </c>
      <c r="K108">
        <v>180</v>
      </c>
    </row>
    <row r="109" spans="1:11" x14ac:dyDescent="0.4">
      <c r="A109" t="s">
        <v>153</v>
      </c>
      <c r="B109" t="s">
        <v>33</v>
      </c>
      <c r="C109">
        <v>31</v>
      </c>
      <c r="D109" t="s">
        <v>34</v>
      </c>
      <c r="E109">
        <v>4</v>
      </c>
      <c r="F109">
        <v>1</v>
      </c>
      <c r="G109">
        <v>20</v>
      </c>
      <c r="H109">
        <v>2</v>
      </c>
      <c r="I109" t="s">
        <v>35</v>
      </c>
      <c r="J109" t="s">
        <v>36</v>
      </c>
      <c r="K109">
        <v>360</v>
      </c>
    </row>
    <row r="110" spans="1:11" x14ac:dyDescent="0.4">
      <c r="A110" t="s">
        <v>154</v>
      </c>
      <c r="B110" t="s">
        <v>33</v>
      </c>
      <c r="C110">
        <v>65</v>
      </c>
      <c r="D110" t="s">
        <v>52</v>
      </c>
      <c r="E110">
        <v>4</v>
      </c>
      <c r="F110">
        <v>0.5</v>
      </c>
      <c r="G110">
        <v>50</v>
      </c>
      <c r="H110">
        <v>3</v>
      </c>
      <c r="I110" t="s">
        <v>41</v>
      </c>
      <c r="J110" t="s">
        <v>42</v>
      </c>
      <c r="K110">
        <v>50</v>
      </c>
    </row>
    <row r="111" spans="1:11" x14ac:dyDescent="0.4">
      <c r="A111" t="s">
        <v>155</v>
      </c>
      <c r="B111" t="s">
        <v>38</v>
      </c>
      <c r="C111">
        <v>47</v>
      </c>
      <c r="D111" t="s">
        <v>52</v>
      </c>
      <c r="E111">
        <v>4</v>
      </c>
      <c r="F111">
        <v>1</v>
      </c>
      <c r="G111">
        <v>100</v>
      </c>
      <c r="H111">
        <v>3</v>
      </c>
      <c r="I111" t="s">
        <v>41</v>
      </c>
      <c r="J111" t="s">
        <v>42</v>
      </c>
      <c r="K111">
        <v>180</v>
      </c>
    </row>
    <row r="112" spans="1:11" x14ac:dyDescent="0.4">
      <c r="A112" t="s">
        <v>156</v>
      </c>
      <c r="B112" t="s">
        <v>38</v>
      </c>
      <c r="C112">
        <v>62</v>
      </c>
      <c r="D112" t="s">
        <v>34</v>
      </c>
      <c r="E112">
        <v>3</v>
      </c>
      <c r="F112">
        <v>0.5</v>
      </c>
      <c r="G112">
        <v>20</v>
      </c>
      <c r="H112">
        <v>2</v>
      </c>
      <c r="I112" t="s">
        <v>35</v>
      </c>
      <c r="J112" t="s">
        <v>36</v>
      </c>
      <c r="K112">
        <v>50</v>
      </c>
    </row>
    <row r="113" spans="1:11" x14ac:dyDescent="0.4">
      <c r="A113" t="s">
        <v>157</v>
      </c>
      <c r="B113" t="s">
        <v>38</v>
      </c>
      <c r="C113">
        <v>39</v>
      </c>
      <c r="D113" t="s">
        <v>34</v>
      </c>
      <c r="E113">
        <v>2</v>
      </c>
      <c r="F113">
        <v>2</v>
      </c>
      <c r="G113">
        <v>50</v>
      </c>
      <c r="H113">
        <v>4</v>
      </c>
      <c r="I113" t="s">
        <v>39</v>
      </c>
      <c r="J113" t="s">
        <v>36</v>
      </c>
      <c r="K113">
        <v>330</v>
      </c>
    </row>
    <row r="114" spans="1:11" x14ac:dyDescent="0.4">
      <c r="A114" t="s">
        <v>158</v>
      </c>
      <c r="B114" t="s">
        <v>33</v>
      </c>
      <c r="C114">
        <v>50</v>
      </c>
      <c r="D114" t="s">
        <v>34</v>
      </c>
      <c r="E114">
        <v>3</v>
      </c>
      <c r="F114">
        <v>0.25</v>
      </c>
      <c r="G114">
        <v>40</v>
      </c>
      <c r="H114">
        <v>4</v>
      </c>
      <c r="I114" t="s">
        <v>35</v>
      </c>
      <c r="J114" t="s">
        <v>36</v>
      </c>
      <c r="K114">
        <v>150</v>
      </c>
    </row>
    <row r="115" spans="1:11" x14ac:dyDescent="0.4">
      <c r="A115" t="s">
        <v>159</v>
      </c>
      <c r="B115" t="s">
        <v>33</v>
      </c>
      <c r="C115">
        <v>31</v>
      </c>
      <c r="D115" t="s">
        <v>52</v>
      </c>
      <c r="E115">
        <v>8</v>
      </c>
      <c r="F115">
        <v>0.5</v>
      </c>
      <c r="G115">
        <v>20</v>
      </c>
      <c r="H115">
        <v>3</v>
      </c>
      <c r="I115" t="s">
        <v>41</v>
      </c>
      <c r="J115" t="s">
        <v>36</v>
      </c>
      <c r="K115">
        <v>540</v>
      </c>
    </row>
    <row r="116" spans="1:11" x14ac:dyDescent="0.4">
      <c r="A116" t="s">
        <v>160</v>
      </c>
      <c r="B116" t="s">
        <v>38</v>
      </c>
      <c r="C116">
        <v>54</v>
      </c>
      <c r="D116" t="s">
        <v>34</v>
      </c>
      <c r="E116">
        <v>6</v>
      </c>
      <c r="F116">
        <v>1</v>
      </c>
      <c r="G116">
        <v>100</v>
      </c>
      <c r="H116">
        <v>2</v>
      </c>
      <c r="I116" t="s">
        <v>98</v>
      </c>
      <c r="J116" t="s">
        <v>36</v>
      </c>
      <c r="K116">
        <v>150</v>
      </c>
    </row>
    <row r="117" spans="1:11" x14ac:dyDescent="0.4">
      <c r="A117" t="s">
        <v>161</v>
      </c>
      <c r="B117" t="s">
        <v>38</v>
      </c>
      <c r="C117">
        <v>47</v>
      </c>
      <c r="D117" t="s">
        <v>34</v>
      </c>
      <c r="E117">
        <v>2</v>
      </c>
      <c r="F117">
        <v>0.75</v>
      </c>
      <c r="G117">
        <v>25</v>
      </c>
      <c r="H117">
        <v>2</v>
      </c>
      <c r="I117" t="s">
        <v>39</v>
      </c>
      <c r="J117" t="s">
        <v>36</v>
      </c>
      <c r="K117">
        <v>100</v>
      </c>
    </row>
    <row r="118" spans="1:11" x14ac:dyDescent="0.4">
      <c r="A118" t="s">
        <v>162</v>
      </c>
      <c r="B118" t="s">
        <v>38</v>
      </c>
      <c r="C118">
        <v>37</v>
      </c>
      <c r="D118" t="s">
        <v>34</v>
      </c>
      <c r="E118">
        <v>6</v>
      </c>
      <c r="F118">
        <v>1</v>
      </c>
      <c r="G118">
        <v>40</v>
      </c>
      <c r="H118">
        <v>3</v>
      </c>
      <c r="I118" t="s">
        <v>39</v>
      </c>
      <c r="J118" t="s">
        <v>36</v>
      </c>
      <c r="K118">
        <v>220</v>
      </c>
    </row>
    <row r="119" spans="1:11" x14ac:dyDescent="0.4">
      <c r="A119" t="s">
        <v>163</v>
      </c>
      <c r="B119" t="s">
        <v>38</v>
      </c>
      <c r="C119">
        <v>45</v>
      </c>
      <c r="D119" t="s">
        <v>34</v>
      </c>
      <c r="E119">
        <v>7</v>
      </c>
      <c r="F119">
        <v>1</v>
      </c>
      <c r="G119">
        <v>100</v>
      </c>
      <c r="H119">
        <v>3</v>
      </c>
      <c r="I119" t="s">
        <v>41</v>
      </c>
      <c r="J119" t="s">
        <v>36</v>
      </c>
      <c r="K119">
        <v>330</v>
      </c>
    </row>
    <row r="120" spans="1:11" x14ac:dyDescent="0.4">
      <c r="A120" t="s">
        <v>164</v>
      </c>
      <c r="B120" t="s">
        <v>38</v>
      </c>
      <c r="C120">
        <v>40</v>
      </c>
      <c r="D120" t="s">
        <v>34</v>
      </c>
      <c r="E120">
        <v>2</v>
      </c>
      <c r="F120">
        <v>0.5</v>
      </c>
      <c r="G120">
        <v>25</v>
      </c>
      <c r="H120">
        <v>5</v>
      </c>
      <c r="I120" t="s">
        <v>35</v>
      </c>
      <c r="J120" t="s">
        <v>36</v>
      </c>
      <c r="K120">
        <v>180</v>
      </c>
    </row>
    <row r="121" spans="1:11" x14ac:dyDescent="0.4">
      <c r="A121" t="s">
        <v>165</v>
      </c>
      <c r="B121" t="s">
        <v>38</v>
      </c>
      <c r="C121">
        <v>43</v>
      </c>
      <c r="D121" t="s">
        <v>34</v>
      </c>
      <c r="E121">
        <v>7</v>
      </c>
      <c r="F121">
        <v>1</v>
      </c>
      <c r="G121">
        <v>50</v>
      </c>
      <c r="H121">
        <v>3</v>
      </c>
      <c r="I121" t="s">
        <v>35</v>
      </c>
      <c r="J121" t="s">
        <v>36</v>
      </c>
      <c r="K121">
        <v>200</v>
      </c>
    </row>
    <row r="122" spans="1:11" x14ac:dyDescent="0.4">
      <c r="A122" t="s">
        <v>166</v>
      </c>
      <c r="B122" t="s">
        <v>33</v>
      </c>
      <c r="C122">
        <v>56</v>
      </c>
      <c r="D122" t="s">
        <v>34</v>
      </c>
      <c r="E122">
        <v>6</v>
      </c>
      <c r="F122">
        <v>0.5</v>
      </c>
      <c r="G122">
        <v>40</v>
      </c>
      <c r="H122">
        <v>5</v>
      </c>
      <c r="I122" t="s">
        <v>35</v>
      </c>
      <c r="J122" t="s">
        <v>36</v>
      </c>
      <c r="K122">
        <v>100</v>
      </c>
    </row>
    <row r="123" spans="1:11" x14ac:dyDescent="0.4">
      <c r="A123" t="s">
        <v>167</v>
      </c>
      <c r="B123" t="s">
        <v>33</v>
      </c>
      <c r="C123">
        <v>57</v>
      </c>
      <c r="D123" t="s">
        <v>34</v>
      </c>
      <c r="E123">
        <v>2</v>
      </c>
      <c r="F123">
        <v>0.25</v>
      </c>
      <c r="G123">
        <v>20</v>
      </c>
      <c r="H123">
        <v>2</v>
      </c>
      <c r="I123" t="s">
        <v>41</v>
      </c>
      <c r="J123" t="s">
        <v>42</v>
      </c>
      <c r="K123">
        <v>90</v>
      </c>
    </row>
    <row r="124" spans="1:11" x14ac:dyDescent="0.4">
      <c r="A124" t="s">
        <v>168</v>
      </c>
      <c r="B124" t="s">
        <v>33</v>
      </c>
      <c r="C124">
        <v>42</v>
      </c>
      <c r="D124" t="s">
        <v>34</v>
      </c>
      <c r="E124">
        <v>3</v>
      </c>
      <c r="F124">
        <v>0.5</v>
      </c>
      <c r="G124">
        <v>30</v>
      </c>
      <c r="H124">
        <v>3</v>
      </c>
      <c r="I124" t="s">
        <v>35</v>
      </c>
      <c r="J124" t="s">
        <v>36</v>
      </c>
      <c r="K124">
        <v>250</v>
      </c>
    </row>
    <row r="125" spans="1:11" x14ac:dyDescent="0.4">
      <c r="A125" t="s">
        <v>169</v>
      </c>
      <c r="B125" t="s">
        <v>38</v>
      </c>
      <c r="C125">
        <v>63</v>
      </c>
      <c r="D125" t="s">
        <v>52</v>
      </c>
      <c r="E125">
        <v>3</v>
      </c>
      <c r="F125">
        <v>0.5</v>
      </c>
      <c r="G125">
        <v>40</v>
      </c>
      <c r="H125">
        <v>2</v>
      </c>
      <c r="I125" t="s">
        <v>35</v>
      </c>
      <c r="J125" t="s">
        <v>36</v>
      </c>
      <c r="K125">
        <v>70</v>
      </c>
    </row>
    <row r="126" spans="1:11" x14ac:dyDescent="0.4">
      <c r="A126" t="s">
        <v>170</v>
      </c>
      <c r="B126" t="s">
        <v>33</v>
      </c>
      <c r="C126">
        <v>62</v>
      </c>
      <c r="D126" t="s">
        <v>100</v>
      </c>
      <c r="E126">
        <v>1</v>
      </c>
      <c r="F126">
        <v>0.5</v>
      </c>
      <c r="G126">
        <v>30</v>
      </c>
      <c r="H126">
        <v>2</v>
      </c>
      <c r="I126" t="s">
        <v>35</v>
      </c>
      <c r="J126" t="s">
        <v>36</v>
      </c>
      <c r="K126">
        <v>100</v>
      </c>
    </row>
    <row r="127" spans="1:11" x14ac:dyDescent="0.4">
      <c r="A127" t="s">
        <v>171</v>
      </c>
      <c r="B127" t="s">
        <v>38</v>
      </c>
      <c r="C127">
        <v>37</v>
      </c>
      <c r="D127" t="s">
        <v>52</v>
      </c>
      <c r="E127">
        <v>5</v>
      </c>
      <c r="F127">
        <v>0.5</v>
      </c>
      <c r="G127">
        <v>350</v>
      </c>
      <c r="H127">
        <v>3</v>
      </c>
      <c r="I127" t="s">
        <v>41</v>
      </c>
      <c r="J127" t="s">
        <v>36</v>
      </c>
      <c r="K127">
        <v>270</v>
      </c>
    </row>
    <row r="128" spans="1:11" x14ac:dyDescent="0.4">
      <c r="A128" t="s">
        <v>172</v>
      </c>
      <c r="B128" t="s">
        <v>38</v>
      </c>
      <c r="C128">
        <v>42</v>
      </c>
      <c r="D128" t="s">
        <v>34</v>
      </c>
      <c r="E128">
        <v>6</v>
      </c>
      <c r="F128">
        <v>1</v>
      </c>
      <c r="G128">
        <v>25</v>
      </c>
      <c r="H128">
        <v>2</v>
      </c>
      <c r="I128" t="s">
        <v>41</v>
      </c>
      <c r="J128" t="s">
        <v>36</v>
      </c>
      <c r="K128">
        <v>270</v>
      </c>
    </row>
    <row r="129" spans="1:11" x14ac:dyDescent="0.4">
      <c r="A129" t="s">
        <v>173</v>
      </c>
      <c r="B129" t="s">
        <v>38</v>
      </c>
      <c r="C129">
        <v>41</v>
      </c>
      <c r="D129" t="s">
        <v>52</v>
      </c>
      <c r="E129">
        <v>5</v>
      </c>
      <c r="F129">
        <v>1</v>
      </c>
      <c r="G129">
        <v>50</v>
      </c>
      <c r="H129">
        <v>2</v>
      </c>
      <c r="I129" t="s">
        <v>41</v>
      </c>
      <c r="J129" t="s">
        <v>36</v>
      </c>
      <c r="K129">
        <v>300</v>
      </c>
    </row>
    <row r="130" spans="1:11" x14ac:dyDescent="0.4">
      <c r="A130" t="s">
        <v>174</v>
      </c>
      <c r="B130" t="s">
        <v>38</v>
      </c>
      <c r="C130">
        <v>19</v>
      </c>
      <c r="D130" t="s">
        <v>34</v>
      </c>
      <c r="E130">
        <v>5</v>
      </c>
      <c r="F130">
        <v>0.5</v>
      </c>
      <c r="G130">
        <v>40</v>
      </c>
      <c r="H130">
        <v>2</v>
      </c>
      <c r="I130" t="s">
        <v>41</v>
      </c>
      <c r="J130" t="s">
        <v>36</v>
      </c>
      <c r="K130">
        <v>540</v>
      </c>
    </row>
    <row r="131" spans="1:11" x14ac:dyDescent="0.4">
      <c r="A131" t="s">
        <v>175</v>
      </c>
      <c r="B131" t="s">
        <v>38</v>
      </c>
      <c r="C131">
        <v>62</v>
      </c>
      <c r="D131" t="s">
        <v>34</v>
      </c>
      <c r="E131">
        <v>5</v>
      </c>
      <c r="F131">
        <v>0.5</v>
      </c>
      <c r="G131">
        <v>250</v>
      </c>
      <c r="H131">
        <v>2</v>
      </c>
      <c r="I131" t="s">
        <v>98</v>
      </c>
      <c r="J131" t="s">
        <v>42</v>
      </c>
      <c r="K131">
        <v>100</v>
      </c>
    </row>
    <row r="132" spans="1:11" x14ac:dyDescent="0.4">
      <c r="A132" t="s">
        <v>176</v>
      </c>
      <c r="B132" t="s">
        <v>38</v>
      </c>
      <c r="C132">
        <v>28</v>
      </c>
      <c r="D132" t="s">
        <v>34</v>
      </c>
      <c r="E132">
        <v>7</v>
      </c>
      <c r="F132">
        <v>1</v>
      </c>
      <c r="G132">
        <v>40</v>
      </c>
      <c r="H132">
        <v>2</v>
      </c>
      <c r="I132" t="s">
        <v>35</v>
      </c>
      <c r="J132" t="s">
        <v>42</v>
      </c>
      <c r="K132">
        <v>540</v>
      </c>
    </row>
    <row r="133" spans="1:11" x14ac:dyDescent="0.4">
      <c r="A133" t="s">
        <v>177</v>
      </c>
      <c r="B133" t="s">
        <v>33</v>
      </c>
      <c r="C133">
        <v>50</v>
      </c>
      <c r="D133" t="s">
        <v>45</v>
      </c>
      <c r="E133">
        <v>5</v>
      </c>
      <c r="F133">
        <v>0.5</v>
      </c>
      <c r="G133">
        <v>20</v>
      </c>
      <c r="H133">
        <v>3</v>
      </c>
      <c r="I133" t="s">
        <v>41</v>
      </c>
      <c r="J133" t="s">
        <v>36</v>
      </c>
      <c r="K133">
        <v>135</v>
      </c>
    </row>
    <row r="134" spans="1:11" x14ac:dyDescent="0.4">
      <c r="A134" t="s">
        <v>178</v>
      </c>
      <c r="B134" t="s">
        <v>38</v>
      </c>
      <c r="C134">
        <v>28</v>
      </c>
      <c r="D134" t="s">
        <v>34</v>
      </c>
      <c r="E134">
        <v>5</v>
      </c>
      <c r="F134">
        <v>1</v>
      </c>
      <c r="G134">
        <v>30</v>
      </c>
      <c r="H134">
        <v>4</v>
      </c>
      <c r="I134" t="s">
        <v>41</v>
      </c>
      <c r="J134" t="s">
        <v>42</v>
      </c>
      <c r="K134">
        <v>360</v>
      </c>
    </row>
    <row r="135" spans="1:11" x14ac:dyDescent="0.4">
      <c r="A135" t="s">
        <v>179</v>
      </c>
      <c r="B135" t="s">
        <v>38</v>
      </c>
      <c r="C135">
        <v>63</v>
      </c>
      <c r="D135" t="s">
        <v>34</v>
      </c>
      <c r="E135">
        <v>5</v>
      </c>
      <c r="F135">
        <v>1</v>
      </c>
      <c r="G135">
        <v>50</v>
      </c>
      <c r="H135">
        <v>3</v>
      </c>
      <c r="I135" t="s">
        <v>35</v>
      </c>
      <c r="J135" t="s">
        <v>36</v>
      </c>
      <c r="K135">
        <v>50</v>
      </c>
    </row>
    <row r="136" spans="1:11" x14ac:dyDescent="0.4">
      <c r="A136" t="s">
        <v>180</v>
      </c>
      <c r="B136" t="s">
        <v>33</v>
      </c>
      <c r="C136">
        <v>31</v>
      </c>
      <c r="D136" t="s">
        <v>34</v>
      </c>
      <c r="E136">
        <v>4</v>
      </c>
      <c r="F136">
        <v>0.5</v>
      </c>
      <c r="G136">
        <v>20</v>
      </c>
      <c r="H136">
        <v>3</v>
      </c>
      <c r="I136" t="s">
        <v>35</v>
      </c>
      <c r="J136" t="s">
        <v>36</v>
      </c>
      <c r="K136">
        <v>450</v>
      </c>
    </row>
    <row r="137" spans="1:11" x14ac:dyDescent="0.4">
      <c r="A137" t="s">
        <v>181</v>
      </c>
      <c r="B137" t="s">
        <v>38</v>
      </c>
      <c r="C137">
        <v>48</v>
      </c>
      <c r="D137" t="s">
        <v>34</v>
      </c>
      <c r="E137">
        <v>6</v>
      </c>
      <c r="F137">
        <v>0.5</v>
      </c>
      <c r="G137">
        <v>200</v>
      </c>
      <c r="H137">
        <v>3</v>
      </c>
      <c r="I137" t="s">
        <v>35</v>
      </c>
      <c r="J137" t="s">
        <v>36</v>
      </c>
      <c r="K137">
        <v>180</v>
      </c>
    </row>
    <row r="138" spans="1:11" x14ac:dyDescent="0.4">
      <c r="A138" t="s">
        <v>182</v>
      </c>
      <c r="B138" t="s">
        <v>38</v>
      </c>
      <c r="C138">
        <v>43</v>
      </c>
      <c r="D138" t="s">
        <v>34</v>
      </c>
      <c r="E138">
        <v>5</v>
      </c>
      <c r="F138">
        <v>2.5</v>
      </c>
      <c r="G138">
        <v>150</v>
      </c>
      <c r="H138">
        <v>2</v>
      </c>
      <c r="I138" t="s">
        <v>39</v>
      </c>
      <c r="J138" t="s">
        <v>42</v>
      </c>
      <c r="K138">
        <v>360</v>
      </c>
    </row>
    <row r="139" spans="1:11" x14ac:dyDescent="0.4">
      <c r="A139" t="s">
        <v>183</v>
      </c>
      <c r="B139" t="s">
        <v>33</v>
      </c>
      <c r="C139">
        <v>28</v>
      </c>
      <c r="D139" t="s">
        <v>52</v>
      </c>
      <c r="E139">
        <v>2</v>
      </c>
      <c r="F139">
        <v>1</v>
      </c>
      <c r="G139">
        <v>25</v>
      </c>
      <c r="H139">
        <v>4</v>
      </c>
      <c r="I139" t="s">
        <v>41</v>
      </c>
      <c r="J139" t="s">
        <v>36</v>
      </c>
      <c r="K139">
        <v>360</v>
      </c>
    </row>
    <row r="140" spans="1:11" x14ac:dyDescent="0.4">
      <c r="A140" t="s">
        <v>184</v>
      </c>
      <c r="B140" t="s">
        <v>38</v>
      </c>
      <c r="C140">
        <v>31</v>
      </c>
      <c r="D140" t="s">
        <v>34</v>
      </c>
      <c r="E140">
        <v>2</v>
      </c>
      <c r="F140">
        <v>1</v>
      </c>
      <c r="G140">
        <v>20</v>
      </c>
      <c r="H140">
        <v>2</v>
      </c>
      <c r="I140" t="s">
        <v>35</v>
      </c>
      <c r="J140" t="s">
        <v>36</v>
      </c>
      <c r="K140">
        <v>360</v>
      </c>
    </row>
    <row r="141" spans="1:11" x14ac:dyDescent="0.4">
      <c r="A141" t="s">
        <v>185</v>
      </c>
      <c r="B141" t="s">
        <v>33</v>
      </c>
      <c r="C141">
        <v>39</v>
      </c>
      <c r="D141" t="s">
        <v>52</v>
      </c>
      <c r="E141">
        <v>3</v>
      </c>
      <c r="F141">
        <v>2</v>
      </c>
      <c r="G141">
        <v>50</v>
      </c>
      <c r="H141">
        <v>3</v>
      </c>
      <c r="I141" t="s">
        <v>50</v>
      </c>
      <c r="J141" t="s">
        <v>36</v>
      </c>
      <c r="K141">
        <v>200</v>
      </c>
    </row>
    <row r="142" spans="1:11" x14ac:dyDescent="0.4">
      <c r="A142" t="s">
        <v>186</v>
      </c>
      <c r="B142" t="s">
        <v>33</v>
      </c>
      <c r="C142">
        <v>62</v>
      </c>
      <c r="D142" t="s">
        <v>34</v>
      </c>
      <c r="E142">
        <v>6</v>
      </c>
      <c r="F142">
        <v>0.5</v>
      </c>
      <c r="G142">
        <v>100</v>
      </c>
      <c r="H142">
        <v>2</v>
      </c>
      <c r="I142" t="s">
        <v>41</v>
      </c>
      <c r="J142" t="s">
        <v>42</v>
      </c>
      <c r="K142">
        <v>75</v>
      </c>
    </row>
    <row r="143" spans="1:11" x14ac:dyDescent="0.4">
      <c r="A143" t="s">
        <v>187</v>
      </c>
      <c r="B143" t="s">
        <v>38</v>
      </c>
      <c r="C143">
        <v>48</v>
      </c>
      <c r="D143" t="s">
        <v>52</v>
      </c>
      <c r="E143">
        <v>7</v>
      </c>
      <c r="F143">
        <v>1</v>
      </c>
      <c r="G143">
        <v>25</v>
      </c>
      <c r="H143">
        <v>3</v>
      </c>
      <c r="I143" t="s">
        <v>39</v>
      </c>
      <c r="J143" t="s">
        <v>36</v>
      </c>
      <c r="K143">
        <v>150</v>
      </c>
    </row>
    <row r="144" spans="1:11" x14ac:dyDescent="0.4">
      <c r="A144" t="s">
        <v>188</v>
      </c>
      <c r="B144" t="s">
        <v>38</v>
      </c>
      <c r="C144">
        <v>64</v>
      </c>
      <c r="D144" t="s">
        <v>34</v>
      </c>
      <c r="E144">
        <v>3</v>
      </c>
      <c r="F144">
        <v>0.25</v>
      </c>
      <c r="G144">
        <v>40</v>
      </c>
      <c r="H144">
        <v>3</v>
      </c>
      <c r="I144" t="s">
        <v>35</v>
      </c>
      <c r="J144" t="s">
        <v>36</v>
      </c>
      <c r="K144">
        <v>80</v>
      </c>
    </row>
    <row r="145" spans="1:11" x14ac:dyDescent="0.4">
      <c r="A145" t="s">
        <v>189</v>
      </c>
      <c r="B145" t="s">
        <v>38</v>
      </c>
      <c r="C145">
        <v>45</v>
      </c>
      <c r="D145" t="s">
        <v>34</v>
      </c>
      <c r="E145">
        <v>2</v>
      </c>
      <c r="F145">
        <v>0.25</v>
      </c>
      <c r="G145">
        <v>100</v>
      </c>
      <c r="H145">
        <v>3</v>
      </c>
      <c r="I145" t="s">
        <v>35</v>
      </c>
      <c r="J145" t="s">
        <v>36</v>
      </c>
      <c r="K145">
        <v>270</v>
      </c>
    </row>
    <row r="146" spans="1:11" x14ac:dyDescent="0.4">
      <c r="A146" t="s">
        <v>190</v>
      </c>
      <c r="B146" t="s">
        <v>33</v>
      </c>
      <c r="C146">
        <v>29</v>
      </c>
      <c r="D146" t="s">
        <v>34</v>
      </c>
      <c r="E146">
        <v>6</v>
      </c>
      <c r="F146">
        <v>0.5</v>
      </c>
      <c r="G146">
        <v>200</v>
      </c>
      <c r="H146">
        <v>5</v>
      </c>
      <c r="I146" t="s">
        <v>41</v>
      </c>
      <c r="J146" t="s">
        <v>36</v>
      </c>
      <c r="K146">
        <v>450</v>
      </c>
    </row>
    <row r="147" spans="1:11" x14ac:dyDescent="0.4">
      <c r="A147" t="s">
        <v>191</v>
      </c>
      <c r="B147" t="s">
        <v>38</v>
      </c>
      <c r="C147">
        <v>53</v>
      </c>
      <c r="D147" t="s">
        <v>52</v>
      </c>
      <c r="E147">
        <v>5</v>
      </c>
      <c r="F147">
        <v>1</v>
      </c>
      <c r="G147">
        <v>50</v>
      </c>
      <c r="H147">
        <v>2</v>
      </c>
      <c r="I147" t="s">
        <v>39</v>
      </c>
      <c r="J147" t="s">
        <v>36</v>
      </c>
      <c r="K147">
        <v>180</v>
      </c>
    </row>
    <row r="148" spans="1:11" x14ac:dyDescent="0.4">
      <c r="A148" t="s">
        <v>192</v>
      </c>
      <c r="B148" t="s">
        <v>38</v>
      </c>
      <c r="C148">
        <v>32</v>
      </c>
      <c r="D148" t="s">
        <v>34</v>
      </c>
      <c r="E148">
        <v>4</v>
      </c>
      <c r="F148">
        <v>0.5</v>
      </c>
      <c r="G148">
        <v>25</v>
      </c>
      <c r="H148">
        <v>3</v>
      </c>
      <c r="I148" t="s">
        <v>41</v>
      </c>
      <c r="J148" t="s">
        <v>36</v>
      </c>
      <c r="K148">
        <v>540</v>
      </c>
    </row>
    <row r="149" spans="1:11" x14ac:dyDescent="0.4">
      <c r="A149" t="s">
        <v>193</v>
      </c>
      <c r="B149" t="s">
        <v>38</v>
      </c>
      <c r="C149">
        <v>46</v>
      </c>
      <c r="D149" t="s">
        <v>34</v>
      </c>
      <c r="E149">
        <v>4</v>
      </c>
      <c r="F149">
        <v>0.5</v>
      </c>
      <c r="G149">
        <v>40</v>
      </c>
      <c r="H149">
        <v>2</v>
      </c>
      <c r="I149" t="s">
        <v>35</v>
      </c>
      <c r="J149" t="s">
        <v>36</v>
      </c>
      <c r="K149">
        <v>180</v>
      </c>
    </row>
    <row r="150" spans="1:11" x14ac:dyDescent="0.4">
      <c r="A150" t="s">
        <v>194</v>
      </c>
      <c r="B150" t="s">
        <v>38</v>
      </c>
      <c r="C150">
        <v>32</v>
      </c>
      <c r="D150" t="s">
        <v>34</v>
      </c>
      <c r="E150">
        <v>4</v>
      </c>
      <c r="F150">
        <v>0.5</v>
      </c>
      <c r="G150">
        <v>20</v>
      </c>
      <c r="H150">
        <v>4</v>
      </c>
      <c r="I150" t="s">
        <v>39</v>
      </c>
      <c r="J150" t="s">
        <v>42</v>
      </c>
      <c r="K150">
        <v>360</v>
      </c>
    </row>
    <row r="151" spans="1:11" x14ac:dyDescent="0.4">
      <c r="A151" t="s">
        <v>195</v>
      </c>
      <c r="B151" t="s">
        <v>38</v>
      </c>
      <c r="C151">
        <v>52</v>
      </c>
      <c r="D151" t="s">
        <v>34</v>
      </c>
      <c r="E151">
        <v>2</v>
      </c>
      <c r="F151">
        <v>1</v>
      </c>
      <c r="G151">
        <v>50</v>
      </c>
      <c r="H151">
        <v>3</v>
      </c>
      <c r="I151" t="s">
        <v>35</v>
      </c>
      <c r="J151" t="s">
        <v>36</v>
      </c>
      <c r="K151">
        <v>180</v>
      </c>
    </row>
    <row r="152" spans="1:11" x14ac:dyDescent="0.4">
      <c r="A152" t="s">
        <v>196</v>
      </c>
      <c r="B152" t="s">
        <v>38</v>
      </c>
      <c r="C152">
        <v>39</v>
      </c>
      <c r="D152" t="s">
        <v>52</v>
      </c>
      <c r="E152">
        <v>3</v>
      </c>
      <c r="F152">
        <v>0.5</v>
      </c>
      <c r="G152">
        <v>100</v>
      </c>
      <c r="H152">
        <v>3</v>
      </c>
      <c r="I152" t="s">
        <v>35</v>
      </c>
      <c r="J152" t="s">
        <v>36</v>
      </c>
      <c r="K152">
        <v>200</v>
      </c>
    </row>
    <row r="153" spans="1:11" x14ac:dyDescent="0.4">
      <c r="A153" t="s">
        <v>197</v>
      </c>
      <c r="B153" t="s">
        <v>38</v>
      </c>
      <c r="C153">
        <v>18</v>
      </c>
      <c r="D153" t="s">
        <v>52</v>
      </c>
      <c r="E153">
        <v>6</v>
      </c>
      <c r="F153">
        <v>0.25</v>
      </c>
      <c r="G153">
        <v>50</v>
      </c>
      <c r="H153">
        <v>3</v>
      </c>
      <c r="I153" t="s">
        <v>39</v>
      </c>
      <c r="J153" t="s">
        <v>36</v>
      </c>
      <c r="K153">
        <v>360</v>
      </c>
    </row>
    <row r="154" spans="1:11" x14ac:dyDescent="0.4">
      <c r="A154" t="s">
        <v>198</v>
      </c>
      <c r="B154" t="s">
        <v>38</v>
      </c>
      <c r="C154">
        <v>33</v>
      </c>
      <c r="D154" t="s">
        <v>34</v>
      </c>
      <c r="E154">
        <v>5</v>
      </c>
      <c r="F154">
        <v>0.75</v>
      </c>
      <c r="G154">
        <v>25</v>
      </c>
      <c r="H154">
        <v>3</v>
      </c>
      <c r="I154" t="s">
        <v>41</v>
      </c>
      <c r="J154" t="s">
        <v>36</v>
      </c>
      <c r="K154">
        <v>450</v>
      </c>
    </row>
    <row r="155" spans="1:11" x14ac:dyDescent="0.4">
      <c r="A155" t="s">
        <v>199</v>
      </c>
      <c r="B155" t="s">
        <v>33</v>
      </c>
      <c r="C155">
        <v>47</v>
      </c>
      <c r="D155" t="s">
        <v>45</v>
      </c>
      <c r="E155">
        <v>5</v>
      </c>
      <c r="F155">
        <v>1</v>
      </c>
      <c r="G155">
        <v>40</v>
      </c>
      <c r="H155">
        <v>3</v>
      </c>
      <c r="I155" t="s">
        <v>41</v>
      </c>
      <c r="J155" t="s">
        <v>36</v>
      </c>
      <c r="K155">
        <v>150</v>
      </c>
    </row>
    <row r="156" spans="1:11" x14ac:dyDescent="0.4">
      <c r="A156" t="s">
        <v>200</v>
      </c>
      <c r="B156" t="s">
        <v>38</v>
      </c>
      <c r="C156">
        <v>44</v>
      </c>
      <c r="D156" t="s">
        <v>52</v>
      </c>
      <c r="E156">
        <v>4</v>
      </c>
      <c r="F156">
        <v>1.5</v>
      </c>
      <c r="G156">
        <v>100</v>
      </c>
      <c r="H156">
        <v>2</v>
      </c>
      <c r="I156" t="s">
        <v>41</v>
      </c>
      <c r="J156" t="s">
        <v>42</v>
      </c>
      <c r="K156">
        <v>330</v>
      </c>
    </row>
    <row r="157" spans="1:11" x14ac:dyDescent="0.4">
      <c r="A157" t="s">
        <v>201</v>
      </c>
      <c r="B157" t="s">
        <v>33</v>
      </c>
      <c r="C157">
        <v>33</v>
      </c>
      <c r="D157" t="s">
        <v>34</v>
      </c>
      <c r="E157">
        <v>6</v>
      </c>
      <c r="F157">
        <v>0.5</v>
      </c>
      <c r="G157">
        <v>100</v>
      </c>
      <c r="H157">
        <v>3</v>
      </c>
      <c r="I157" t="s">
        <v>39</v>
      </c>
      <c r="J157" t="s">
        <v>36</v>
      </c>
      <c r="K157">
        <v>540</v>
      </c>
    </row>
    <row r="158" spans="1:11" x14ac:dyDescent="0.4">
      <c r="A158" t="s">
        <v>202</v>
      </c>
      <c r="B158" t="s">
        <v>33</v>
      </c>
      <c r="C158">
        <v>35</v>
      </c>
      <c r="D158" t="s">
        <v>52</v>
      </c>
      <c r="E158">
        <v>4</v>
      </c>
      <c r="F158">
        <v>0.25</v>
      </c>
      <c r="G158">
        <v>20</v>
      </c>
      <c r="H158">
        <v>2</v>
      </c>
      <c r="I158" t="s">
        <v>35</v>
      </c>
      <c r="J158" t="s">
        <v>42</v>
      </c>
      <c r="K158">
        <v>500</v>
      </c>
    </row>
    <row r="159" spans="1:11" x14ac:dyDescent="0.4">
      <c r="A159" t="s">
        <v>203</v>
      </c>
      <c r="B159" t="s">
        <v>38</v>
      </c>
      <c r="C159">
        <v>43</v>
      </c>
      <c r="D159" t="s">
        <v>34</v>
      </c>
      <c r="E159">
        <v>5</v>
      </c>
      <c r="F159">
        <v>1.5</v>
      </c>
      <c r="G159">
        <v>50</v>
      </c>
      <c r="H159">
        <v>2</v>
      </c>
      <c r="I159" t="s">
        <v>35</v>
      </c>
      <c r="J159" t="s">
        <v>36</v>
      </c>
      <c r="K159">
        <v>270</v>
      </c>
    </row>
    <row r="160" spans="1:11" x14ac:dyDescent="0.4">
      <c r="A160" t="s">
        <v>204</v>
      </c>
      <c r="B160" t="s">
        <v>38</v>
      </c>
      <c r="C160">
        <v>34</v>
      </c>
      <c r="D160" t="s">
        <v>34</v>
      </c>
      <c r="E160">
        <v>6</v>
      </c>
      <c r="F160">
        <v>1</v>
      </c>
      <c r="G160">
        <v>50</v>
      </c>
      <c r="H160">
        <v>2</v>
      </c>
      <c r="I160" t="s">
        <v>35</v>
      </c>
      <c r="J160" t="s">
        <v>42</v>
      </c>
      <c r="K160">
        <v>450</v>
      </c>
    </row>
    <row r="161" spans="1:11" x14ac:dyDescent="0.4">
      <c r="A161" t="s">
        <v>205</v>
      </c>
      <c r="B161" t="s">
        <v>38</v>
      </c>
      <c r="C161">
        <v>49</v>
      </c>
      <c r="D161" t="s">
        <v>34</v>
      </c>
      <c r="E161">
        <v>6</v>
      </c>
      <c r="F161">
        <v>0.5</v>
      </c>
      <c r="G161">
        <v>75</v>
      </c>
      <c r="H161">
        <v>2</v>
      </c>
      <c r="I161" t="s">
        <v>41</v>
      </c>
      <c r="J161" t="s">
        <v>42</v>
      </c>
      <c r="K161">
        <v>150</v>
      </c>
    </row>
    <row r="162" spans="1:11" x14ac:dyDescent="0.4">
      <c r="A162" t="s">
        <v>206</v>
      </c>
      <c r="B162" t="s">
        <v>38</v>
      </c>
      <c r="C162">
        <v>44</v>
      </c>
      <c r="D162" t="s">
        <v>52</v>
      </c>
      <c r="E162">
        <v>6</v>
      </c>
      <c r="F162">
        <v>0.5</v>
      </c>
      <c r="G162">
        <v>20</v>
      </c>
      <c r="H162">
        <v>2</v>
      </c>
      <c r="I162" t="s">
        <v>35</v>
      </c>
      <c r="J162" t="s">
        <v>42</v>
      </c>
      <c r="K162">
        <v>180</v>
      </c>
    </row>
    <row r="163" spans="1:11" x14ac:dyDescent="0.4">
      <c r="A163" t="s">
        <v>207</v>
      </c>
      <c r="B163" t="s">
        <v>38</v>
      </c>
      <c r="C163">
        <v>35</v>
      </c>
      <c r="D163" t="s">
        <v>34</v>
      </c>
      <c r="E163">
        <v>5</v>
      </c>
      <c r="F163">
        <v>1</v>
      </c>
      <c r="G163">
        <v>50</v>
      </c>
      <c r="H163">
        <v>3</v>
      </c>
      <c r="I163" t="s">
        <v>35</v>
      </c>
      <c r="J163" t="s">
        <v>36</v>
      </c>
      <c r="K163">
        <v>400</v>
      </c>
    </row>
    <row r="164" spans="1:11" x14ac:dyDescent="0.4">
      <c r="A164" t="s">
        <v>208</v>
      </c>
      <c r="B164" t="s">
        <v>38</v>
      </c>
      <c r="C164">
        <v>50</v>
      </c>
      <c r="D164" t="s">
        <v>52</v>
      </c>
      <c r="E164">
        <v>5</v>
      </c>
      <c r="F164">
        <v>1</v>
      </c>
      <c r="G164">
        <v>50</v>
      </c>
      <c r="H164">
        <v>3</v>
      </c>
      <c r="I164" t="s">
        <v>39</v>
      </c>
      <c r="J164" t="s">
        <v>42</v>
      </c>
      <c r="K164">
        <v>90</v>
      </c>
    </row>
    <row r="165" spans="1:11" x14ac:dyDescent="0.4">
      <c r="A165" t="s">
        <v>209</v>
      </c>
      <c r="B165" t="s">
        <v>38</v>
      </c>
      <c r="C165">
        <v>19</v>
      </c>
      <c r="D165" t="s">
        <v>34</v>
      </c>
      <c r="E165">
        <v>6</v>
      </c>
      <c r="F165">
        <v>1</v>
      </c>
      <c r="G165">
        <v>50</v>
      </c>
      <c r="H165">
        <v>3</v>
      </c>
      <c r="I165" t="s">
        <v>35</v>
      </c>
      <c r="J165" t="s">
        <v>42</v>
      </c>
      <c r="K165">
        <v>360</v>
      </c>
    </row>
    <row r="166" spans="1:11" x14ac:dyDescent="0.4">
      <c r="A166" t="s">
        <v>210</v>
      </c>
      <c r="B166" t="s">
        <v>33</v>
      </c>
      <c r="C166">
        <v>55</v>
      </c>
      <c r="D166" t="s">
        <v>34</v>
      </c>
      <c r="E166">
        <v>1</v>
      </c>
      <c r="F166">
        <v>0.5</v>
      </c>
      <c r="G166">
        <v>200</v>
      </c>
      <c r="H166">
        <v>2</v>
      </c>
      <c r="I166" t="s">
        <v>39</v>
      </c>
      <c r="J166" t="s">
        <v>42</v>
      </c>
      <c r="K166">
        <v>180</v>
      </c>
    </row>
    <row r="167" spans="1:11" x14ac:dyDescent="0.4">
      <c r="A167" t="s">
        <v>211</v>
      </c>
      <c r="B167" t="s">
        <v>33</v>
      </c>
      <c r="C167">
        <v>29</v>
      </c>
      <c r="D167" t="s">
        <v>34</v>
      </c>
      <c r="E167">
        <v>4</v>
      </c>
      <c r="F167">
        <v>2</v>
      </c>
      <c r="G167">
        <v>60</v>
      </c>
      <c r="H167">
        <v>2</v>
      </c>
      <c r="I167" t="s">
        <v>39</v>
      </c>
      <c r="J167" t="s">
        <v>36</v>
      </c>
      <c r="K167">
        <v>540</v>
      </c>
    </row>
    <row r="168" spans="1:11" x14ac:dyDescent="0.4">
      <c r="A168" t="s">
        <v>212</v>
      </c>
      <c r="B168" t="s">
        <v>33</v>
      </c>
      <c r="C168">
        <v>34</v>
      </c>
      <c r="D168" t="s">
        <v>52</v>
      </c>
      <c r="E168">
        <v>4</v>
      </c>
      <c r="F168">
        <v>2</v>
      </c>
      <c r="G168">
        <v>100</v>
      </c>
      <c r="H168">
        <v>5</v>
      </c>
      <c r="I168" t="s">
        <v>35</v>
      </c>
      <c r="J168" t="s">
        <v>36</v>
      </c>
      <c r="K168">
        <v>450</v>
      </c>
    </row>
    <row r="169" spans="1:11" x14ac:dyDescent="0.4">
      <c r="A169" t="s">
        <v>213</v>
      </c>
      <c r="B169" t="s">
        <v>38</v>
      </c>
      <c r="C169">
        <v>45</v>
      </c>
      <c r="D169" t="s">
        <v>34</v>
      </c>
      <c r="E169">
        <v>7</v>
      </c>
      <c r="F169">
        <v>0.25</v>
      </c>
      <c r="G169">
        <v>45</v>
      </c>
      <c r="H169">
        <v>4</v>
      </c>
      <c r="I169" t="s">
        <v>35</v>
      </c>
      <c r="J169" t="s">
        <v>36</v>
      </c>
      <c r="K169">
        <v>270</v>
      </c>
    </row>
    <row r="170" spans="1:11" x14ac:dyDescent="0.4">
      <c r="A170" t="s">
        <v>214</v>
      </c>
      <c r="B170" t="s">
        <v>33</v>
      </c>
      <c r="C170">
        <v>62</v>
      </c>
      <c r="D170" t="s">
        <v>34</v>
      </c>
      <c r="E170">
        <v>2</v>
      </c>
      <c r="F170">
        <v>0.5</v>
      </c>
      <c r="G170">
        <v>20</v>
      </c>
      <c r="H170">
        <v>2</v>
      </c>
      <c r="I170" t="s">
        <v>39</v>
      </c>
      <c r="J170" t="s">
        <v>36</v>
      </c>
      <c r="K170">
        <v>50</v>
      </c>
    </row>
    <row r="171" spans="1:11" x14ac:dyDescent="0.4">
      <c r="A171" t="s">
        <v>215</v>
      </c>
      <c r="B171" t="s">
        <v>33</v>
      </c>
      <c r="C171">
        <v>59</v>
      </c>
      <c r="D171" t="s">
        <v>34</v>
      </c>
      <c r="E171">
        <v>3</v>
      </c>
      <c r="F171">
        <v>0.3</v>
      </c>
      <c r="G171">
        <v>50</v>
      </c>
      <c r="H171">
        <v>3</v>
      </c>
      <c r="I171" t="s">
        <v>39</v>
      </c>
      <c r="J171" t="s">
        <v>36</v>
      </c>
      <c r="K171">
        <v>50</v>
      </c>
    </row>
    <row r="172" spans="1:11" x14ac:dyDescent="0.4">
      <c r="A172" t="s">
        <v>216</v>
      </c>
      <c r="B172" t="s">
        <v>38</v>
      </c>
      <c r="C172">
        <v>48</v>
      </c>
      <c r="D172" t="s">
        <v>34</v>
      </c>
      <c r="E172">
        <v>4</v>
      </c>
      <c r="F172">
        <v>1.5</v>
      </c>
      <c r="G172">
        <v>150</v>
      </c>
      <c r="H172">
        <v>2</v>
      </c>
      <c r="I172" t="s">
        <v>41</v>
      </c>
      <c r="J172" t="s">
        <v>36</v>
      </c>
      <c r="K172">
        <v>180</v>
      </c>
    </row>
    <row r="173" spans="1:11" x14ac:dyDescent="0.4">
      <c r="A173" t="s">
        <v>217</v>
      </c>
      <c r="B173" t="s">
        <v>33</v>
      </c>
      <c r="C173">
        <v>57</v>
      </c>
      <c r="D173" t="s">
        <v>100</v>
      </c>
      <c r="E173">
        <v>1</v>
      </c>
      <c r="F173">
        <v>0.5</v>
      </c>
      <c r="G173">
        <v>20</v>
      </c>
      <c r="H173">
        <v>4</v>
      </c>
      <c r="I173" t="s">
        <v>35</v>
      </c>
      <c r="J173" t="s">
        <v>36</v>
      </c>
      <c r="K173">
        <v>50</v>
      </c>
    </row>
    <row r="174" spans="1:11" x14ac:dyDescent="0.4">
      <c r="A174" t="s">
        <v>218</v>
      </c>
      <c r="B174" t="s">
        <v>33</v>
      </c>
      <c r="C174">
        <v>57</v>
      </c>
      <c r="D174" t="s">
        <v>100</v>
      </c>
      <c r="E174">
        <v>1</v>
      </c>
      <c r="F174">
        <v>0.5</v>
      </c>
      <c r="G174">
        <v>90</v>
      </c>
      <c r="H174">
        <v>2</v>
      </c>
      <c r="I174" t="s">
        <v>35</v>
      </c>
      <c r="J174" t="s">
        <v>36</v>
      </c>
      <c r="K174">
        <v>90</v>
      </c>
    </row>
    <row r="175" spans="1:11" x14ac:dyDescent="0.4">
      <c r="A175" t="s">
        <v>219</v>
      </c>
      <c r="B175" t="s">
        <v>38</v>
      </c>
      <c r="C175">
        <v>21</v>
      </c>
      <c r="D175" t="s">
        <v>52</v>
      </c>
      <c r="E175">
        <v>4</v>
      </c>
      <c r="F175">
        <v>1.5</v>
      </c>
      <c r="G175">
        <v>50</v>
      </c>
      <c r="H175">
        <v>3</v>
      </c>
      <c r="I175" t="s">
        <v>39</v>
      </c>
      <c r="J175" t="s">
        <v>42</v>
      </c>
      <c r="K175">
        <v>450</v>
      </c>
    </row>
    <row r="176" spans="1:11" x14ac:dyDescent="0.4">
      <c r="A176" t="s">
        <v>220</v>
      </c>
      <c r="B176" t="s">
        <v>38</v>
      </c>
      <c r="C176">
        <v>25</v>
      </c>
      <c r="D176" t="s">
        <v>34</v>
      </c>
      <c r="E176">
        <v>6</v>
      </c>
      <c r="F176">
        <v>0.5</v>
      </c>
      <c r="G176">
        <v>20</v>
      </c>
      <c r="H176">
        <v>2</v>
      </c>
      <c r="I176" t="s">
        <v>39</v>
      </c>
      <c r="J176" t="s">
        <v>36</v>
      </c>
      <c r="K176">
        <v>450</v>
      </c>
    </row>
    <row r="177" spans="1:11" x14ac:dyDescent="0.4">
      <c r="A177" t="s">
        <v>221</v>
      </c>
      <c r="B177" t="s">
        <v>38</v>
      </c>
      <c r="C177">
        <v>54</v>
      </c>
      <c r="D177" t="s">
        <v>34</v>
      </c>
      <c r="E177">
        <v>2</v>
      </c>
      <c r="F177">
        <v>0.5</v>
      </c>
      <c r="G177">
        <v>20</v>
      </c>
      <c r="H177">
        <v>3</v>
      </c>
      <c r="I177" t="s">
        <v>39</v>
      </c>
      <c r="J177" t="s">
        <v>36</v>
      </c>
      <c r="K177">
        <v>100</v>
      </c>
    </row>
    <row r="178" spans="1:11" x14ac:dyDescent="0.4">
      <c r="A178" t="s">
        <v>222</v>
      </c>
      <c r="B178" t="s">
        <v>38</v>
      </c>
      <c r="C178">
        <v>51</v>
      </c>
      <c r="D178" t="s">
        <v>34</v>
      </c>
      <c r="E178">
        <v>4</v>
      </c>
      <c r="F178">
        <v>0.5</v>
      </c>
      <c r="G178">
        <v>50</v>
      </c>
      <c r="H178">
        <v>3</v>
      </c>
      <c r="I178" t="s">
        <v>41</v>
      </c>
      <c r="J178" t="s">
        <v>42</v>
      </c>
      <c r="K178">
        <v>180</v>
      </c>
    </row>
    <row r="179" spans="1:11" x14ac:dyDescent="0.4">
      <c r="A179" t="s">
        <v>223</v>
      </c>
      <c r="B179" t="s">
        <v>33</v>
      </c>
      <c r="C179">
        <v>40</v>
      </c>
      <c r="D179" t="s">
        <v>45</v>
      </c>
      <c r="E179">
        <v>7</v>
      </c>
      <c r="F179">
        <v>1.5</v>
      </c>
      <c r="G179">
        <v>300</v>
      </c>
      <c r="H179">
        <v>3</v>
      </c>
      <c r="I179" t="s">
        <v>35</v>
      </c>
      <c r="J179" t="s">
        <v>42</v>
      </c>
      <c r="K179">
        <v>200</v>
      </c>
    </row>
    <row r="180" spans="1:11" x14ac:dyDescent="0.4">
      <c r="A180" t="s">
        <v>224</v>
      </c>
      <c r="B180" t="s">
        <v>38</v>
      </c>
      <c r="C180">
        <v>36</v>
      </c>
      <c r="D180" t="s">
        <v>34</v>
      </c>
      <c r="E180">
        <v>5</v>
      </c>
      <c r="F180">
        <v>1</v>
      </c>
      <c r="G180">
        <v>20</v>
      </c>
      <c r="H180">
        <v>2</v>
      </c>
      <c r="I180" t="s">
        <v>35</v>
      </c>
      <c r="J180" t="s">
        <v>36</v>
      </c>
      <c r="K180">
        <v>180</v>
      </c>
    </row>
    <row r="181" spans="1:11" x14ac:dyDescent="0.4">
      <c r="A181" t="s">
        <v>225</v>
      </c>
      <c r="B181" t="s">
        <v>38</v>
      </c>
      <c r="C181">
        <v>54</v>
      </c>
      <c r="D181" t="s">
        <v>52</v>
      </c>
      <c r="E181">
        <v>6</v>
      </c>
      <c r="F181">
        <v>1</v>
      </c>
      <c r="G181">
        <v>50</v>
      </c>
      <c r="H181">
        <v>2</v>
      </c>
      <c r="I181" t="s">
        <v>35</v>
      </c>
      <c r="J181" t="s">
        <v>36</v>
      </c>
      <c r="K181">
        <v>110</v>
      </c>
    </row>
    <row r="182" spans="1:11" x14ac:dyDescent="0.4">
      <c r="A182" t="s">
        <v>226</v>
      </c>
      <c r="B182" t="s">
        <v>38</v>
      </c>
      <c r="C182">
        <v>36</v>
      </c>
      <c r="D182" t="s">
        <v>34</v>
      </c>
      <c r="E182">
        <v>2</v>
      </c>
      <c r="F182">
        <v>0.5</v>
      </c>
      <c r="G182">
        <v>25</v>
      </c>
      <c r="H182">
        <v>5</v>
      </c>
      <c r="I182" t="s">
        <v>98</v>
      </c>
      <c r="J182" t="s">
        <v>36</v>
      </c>
      <c r="K182">
        <v>200</v>
      </c>
    </row>
    <row r="183" spans="1:11" x14ac:dyDescent="0.4">
      <c r="A183" t="s">
        <v>227</v>
      </c>
      <c r="B183" t="s">
        <v>33</v>
      </c>
      <c r="C183">
        <v>54</v>
      </c>
      <c r="D183" t="s">
        <v>45</v>
      </c>
      <c r="E183">
        <v>5</v>
      </c>
      <c r="F183">
        <v>1</v>
      </c>
      <c r="G183">
        <v>30</v>
      </c>
      <c r="H183">
        <v>4</v>
      </c>
      <c r="I183" t="s">
        <v>41</v>
      </c>
      <c r="J183" t="s">
        <v>36</v>
      </c>
      <c r="K183">
        <v>180</v>
      </c>
    </row>
    <row r="184" spans="1:11" x14ac:dyDescent="0.4">
      <c r="A184" t="s">
        <v>228</v>
      </c>
      <c r="B184" t="s">
        <v>38</v>
      </c>
      <c r="C184">
        <v>38</v>
      </c>
      <c r="D184" t="s">
        <v>34</v>
      </c>
      <c r="E184">
        <v>4</v>
      </c>
      <c r="F184">
        <v>1</v>
      </c>
      <c r="G184">
        <v>100</v>
      </c>
      <c r="H184">
        <v>2</v>
      </c>
      <c r="I184" t="s">
        <v>35</v>
      </c>
      <c r="J184" t="s">
        <v>36</v>
      </c>
      <c r="K184">
        <v>250</v>
      </c>
    </row>
    <row r="185" spans="1:11" x14ac:dyDescent="0.4">
      <c r="A185" t="s">
        <v>229</v>
      </c>
      <c r="B185" t="s">
        <v>38</v>
      </c>
      <c r="C185">
        <v>49</v>
      </c>
      <c r="D185" t="s">
        <v>45</v>
      </c>
      <c r="E185">
        <v>6</v>
      </c>
      <c r="F185">
        <v>0.5</v>
      </c>
      <c r="G185">
        <v>50</v>
      </c>
      <c r="H185">
        <v>3</v>
      </c>
      <c r="I185" t="s">
        <v>35</v>
      </c>
      <c r="J185" t="s">
        <v>42</v>
      </c>
      <c r="K185">
        <v>150</v>
      </c>
    </row>
    <row r="186" spans="1:11" x14ac:dyDescent="0.4">
      <c r="A186" t="s">
        <v>230</v>
      </c>
      <c r="B186" t="s">
        <v>38</v>
      </c>
      <c r="C186">
        <v>44</v>
      </c>
      <c r="D186" t="s">
        <v>34</v>
      </c>
      <c r="E186">
        <v>3</v>
      </c>
      <c r="F186">
        <v>2</v>
      </c>
      <c r="G186">
        <v>50</v>
      </c>
      <c r="H186">
        <v>4</v>
      </c>
      <c r="I186" t="s">
        <v>98</v>
      </c>
      <c r="J186" t="s">
        <v>42</v>
      </c>
      <c r="K186">
        <v>330</v>
      </c>
    </row>
    <row r="187" spans="1:11" x14ac:dyDescent="0.4">
      <c r="A187" t="s">
        <v>231</v>
      </c>
      <c r="B187" t="s">
        <v>38</v>
      </c>
      <c r="C187">
        <v>57</v>
      </c>
      <c r="D187" t="s">
        <v>52</v>
      </c>
      <c r="E187">
        <v>5</v>
      </c>
      <c r="F187">
        <v>0.5</v>
      </c>
      <c r="G187">
        <v>25</v>
      </c>
      <c r="H187">
        <v>3</v>
      </c>
      <c r="I187" t="s">
        <v>35</v>
      </c>
      <c r="J187" t="s">
        <v>36</v>
      </c>
      <c r="K187">
        <v>100</v>
      </c>
    </row>
    <row r="188" spans="1:11" x14ac:dyDescent="0.4">
      <c r="A188" t="s">
        <v>232</v>
      </c>
      <c r="B188" t="s">
        <v>38</v>
      </c>
      <c r="C188">
        <v>65</v>
      </c>
      <c r="D188" t="s">
        <v>34</v>
      </c>
      <c r="E188">
        <v>5</v>
      </c>
      <c r="F188">
        <v>0.5</v>
      </c>
      <c r="G188">
        <v>35</v>
      </c>
      <c r="H188">
        <v>2</v>
      </c>
      <c r="I188" t="s">
        <v>39</v>
      </c>
      <c r="J188" t="s">
        <v>42</v>
      </c>
      <c r="K188">
        <v>80</v>
      </c>
    </row>
    <row r="189" spans="1:11" x14ac:dyDescent="0.4">
      <c r="A189" t="s">
        <v>233</v>
      </c>
      <c r="B189" t="s">
        <v>33</v>
      </c>
      <c r="C189">
        <v>39</v>
      </c>
      <c r="D189" t="s">
        <v>45</v>
      </c>
      <c r="E189">
        <v>7</v>
      </c>
      <c r="F189">
        <v>2</v>
      </c>
      <c r="G189">
        <v>50</v>
      </c>
      <c r="H189">
        <v>2</v>
      </c>
      <c r="I189" t="s">
        <v>35</v>
      </c>
      <c r="J189" t="s">
        <v>42</v>
      </c>
      <c r="K189">
        <v>300</v>
      </c>
    </row>
    <row r="190" spans="1:11" x14ac:dyDescent="0.4">
      <c r="A190" t="s">
        <v>234</v>
      </c>
      <c r="B190" t="s">
        <v>38</v>
      </c>
      <c r="C190">
        <v>71</v>
      </c>
      <c r="D190" t="s">
        <v>34</v>
      </c>
      <c r="E190">
        <v>6</v>
      </c>
      <c r="F190">
        <v>0.5</v>
      </c>
      <c r="G190">
        <v>30</v>
      </c>
      <c r="H190">
        <v>2</v>
      </c>
      <c r="I190" t="s">
        <v>35</v>
      </c>
      <c r="J190" t="s">
        <v>36</v>
      </c>
      <c r="K190">
        <v>50</v>
      </c>
    </row>
    <row r="191" spans="1:11" x14ac:dyDescent="0.4">
      <c r="A191" t="s">
        <v>235</v>
      </c>
      <c r="B191" t="s">
        <v>38</v>
      </c>
      <c r="C191">
        <v>52</v>
      </c>
      <c r="D191" t="s">
        <v>34</v>
      </c>
      <c r="E191">
        <v>6</v>
      </c>
      <c r="F191">
        <v>1</v>
      </c>
      <c r="G191">
        <v>25</v>
      </c>
      <c r="H191">
        <v>2</v>
      </c>
      <c r="I191" t="s">
        <v>41</v>
      </c>
      <c r="J191" t="s">
        <v>42</v>
      </c>
      <c r="K191">
        <v>180</v>
      </c>
    </row>
    <row r="192" spans="1:11" x14ac:dyDescent="0.4">
      <c r="A192" t="s">
        <v>236</v>
      </c>
      <c r="B192" t="s">
        <v>38</v>
      </c>
      <c r="C192">
        <v>51</v>
      </c>
      <c r="D192" t="s">
        <v>52</v>
      </c>
      <c r="E192">
        <v>2</v>
      </c>
      <c r="F192">
        <v>0.25</v>
      </c>
      <c r="G192">
        <v>40</v>
      </c>
      <c r="H192">
        <v>2</v>
      </c>
      <c r="I192" t="s">
        <v>35</v>
      </c>
      <c r="J192" t="s">
        <v>42</v>
      </c>
      <c r="K192">
        <v>150</v>
      </c>
    </row>
    <row r="193" spans="1:11" x14ac:dyDescent="0.4">
      <c r="A193" t="s">
        <v>237</v>
      </c>
      <c r="B193" t="s">
        <v>38</v>
      </c>
      <c r="C193">
        <v>20</v>
      </c>
      <c r="D193" t="s">
        <v>52</v>
      </c>
      <c r="E193">
        <v>6</v>
      </c>
      <c r="F193">
        <v>1</v>
      </c>
      <c r="G193">
        <v>30</v>
      </c>
      <c r="H193">
        <v>3</v>
      </c>
      <c r="I193" t="s">
        <v>41</v>
      </c>
      <c r="J193" t="s">
        <v>36</v>
      </c>
      <c r="K193">
        <v>500</v>
      </c>
    </row>
    <row r="194" spans="1:11" x14ac:dyDescent="0.4">
      <c r="A194" t="s">
        <v>238</v>
      </c>
      <c r="B194" t="s">
        <v>38</v>
      </c>
      <c r="C194">
        <v>61</v>
      </c>
      <c r="D194" t="s">
        <v>34</v>
      </c>
      <c r="E194">
        <v>3</v>
      </c>
      <c r="F194">
        <v>0.5</v>
      </c>
      <c r="G194">
        <v>20</v>
      </c>
      <c r="H194">
        <v>3</v>
      </c>
      <c r="I194" t="s">
        <v>35</v>
      </c>
      <c r="J194" t="s">
        <v>36</v>
      </c>
      <c r="K194">
        <v>90</v>
      </c>
    </row>
    <row r="195" spans="1:11" x14ac:dyDescent="0.4">
      <c r="A195" t="s">
        <v>239</v>
      </c>
      <c r="B195" t="s">
        <v>38</v>
      </c>
      <c r="C195">
        <v>55</v>
      </c>
      <c r="D195" t="s">
        <v>52</v>
      </c>
      <c r="E195">
        <v>5</v>
      </c>
      <c r="F195">
        <v>0.3</v>
      </c>
      <c r="G195">
        <v>25</v>
      </c>
      <c r="H195">
        <v>3</v>
      </c>
      <c r="I195" t="s">
        <v>39</v>
      </c>
      <c r="J195" t="s">
        <v>36</v>
      </c>
      <c r="K195">
        <v>100</v>
      </c>
    </row>
    <row r="196" spans="1:11" x14ac:dyDescent="0.4">
      <c r="A196" t="s">
        <v>240</v>
      </c>
      <c r="B196" t="s">
        <v>33</v>
      </c>
      <c r="C196">
        <v>29</v>
      </c>
      <c r="D196" t="s">
        <v>52</v>
      </c>
      <c r="E196">
        <v>8</v>
      </c>
      <c r="F196">
        <v>0.5</v>
      </c>
      <c r="G196">
        <v>20</v>
      </c>
      <c r="H196">
        <v>3</v>
      </c>
      <c r="I196" t="s">
        <v>41</v>
      </c>
      <c r="J196" t="s">
        <v>36</v>
      </c>
      <c r="K196">
        <v>360</v>
      </c>
    </row>
    <row r="197" spans="1:11" x14ac:dyDescent="0.4">
      <c r="A197" t="s">
        <v>241</v>
      </c>
      <c r="B197" t="s">
        <v>38</v>
      </c>
      <c r="C197">
        <v>41</v>
      </c>
      <c r="D197" t="s">
        <v>34</v>
      </c>
      <c r="E197">
        <v>4</v>
      </c>
      <c r="F197">
        <v>1</v>
      </c>
      <c r="G197">
        <v>50</v>
      </c>
      <c r="H197">
        <v>3</v>
      </c>
      <c r="I197" t="s">
        <v>35</v>
      </c>
      <c r="J197" t="s">
        <v>36</v>
      </c>
      <c r="K197">
        <v>250</v>
      </c>
    </row>
    <row r="198" spans="1:11" x14ac:dyDescent="0.4">
      <c r="A198" t="s">
        <v>242</v>
      </c>
      <c r="B198" t="s">
        <v>38</v>
      </c>
      <c r="C198">
        <v>51</v>
      </c>
      <c r="D198" t="s">
        <v>52</v>
      </c>
      <c r="E198">
        <v>7</v>
      </c>
      <c r="F198">
        <v>0.25</v>
      </c>
      <c r="G198">
        <v>100</v>
      </c>
      <c r="H198">
        <v>3</v>
      </c>
      <c r="I198" t="s">
        <v>41</v>
      </c>
      <c r="J198" t="s">
        <v>42</v>
      </c>
      <c r="K198">
        <v>180</v>
      </c>
    </row>
    <row r="199" spans="1:11" x14ac:dyDescent="0.4">
      <c r="A199" t="s">
        <v>243</v>
      </c>
      <c r="B199" t="s">
        <v>38</v>
      </c>
      <c r="C199">
        <v>38</v>
      </c>
      <c r="D199" t="s">
        <v>52</v>
      </c>
      <c r="E199">
        <v>6</v>
      </c>
      <c r="F199">
        <v>0.5</v>
      </c>
      <c r="G199">
        <v>80</v>
      </c>
      <c r="H199">
        <v>2</v>
      </c>
      <c r="I199" t="s">
        <v>35</v>
      </c>
      <c r="J199" t="s">
        <v>36</v>
      </c>
      <c r="K199">
        <v>200</v>
      </c>
    </row>
    <row r="200" spans="1:11" x14ac:dyDescent="0.4">
      <c r="A200" t="s">
        <v>244</v>
      </c>
      <c r="B200" t="s">
        <v>38</v>
      </c>
      <c r="C200">
        <v>44</v>
      </c>
      <c r="D200" t="s">
        <v>52</v>
      </c>
      <c r="E200">
        <v>6</v>
      </c>
      <c r="F200">
        <v>1</v>
      </c>
      <c r="G200">
        <v>90</v>
      </c>
      <c r="H200">
        <v>3</v>
      </c>
      <c r="I200" t="s">
        <v>41</v>
      </c>
      <c r="J200" t="s">
        <v>36</v>
      </c>
      <c r="K200">
        <v>360</v>
      </c>
    </row>
    <row r="201" spans="1:11" x14ac:dyDescent="0.4">
      <c r="A201" t="s">
        <v>245</v>
      </c>
      <c r="B201" t="s">
        <v>38</v>
      </c>
      <c r="C201">
        <v>26</v>
      </c>
      <c r="D201" t="s">
        <v>77</v>
      </c>
      <c r="E201">
        <v>6</v>
      </c>
      <c r="F201">
        <v>0.5</v>
      </c>
      <c r="G201">
        <v>20</v>
      </c>
      <c r="H201">
        <v>2</v>
      </c>
      <c r="I201" t="s">
        <v>50</v>
      </c>
      <c r="J201" t="s">
        <v>36</v>
      </c>
      <c r="K201">
        <v>360</v>
      </c>
    </row>
    <row r="202" spans="1:11" x14ac:dyDescent="0.4">
      <c r="A202" t="s">
        <v>246</v>
      </c>
      <c r="B202" t="s">
        <v>38</v>
      </c>
      <c r="C202">
        <v>65</v>
      </c>
      <c r="D202" t="s">
        <v>34</v>
      </c>
      <c r="E202">
        <v>1</v>
      </c>
      <c r="F202">
        <v>0.75</v>
      </c>
      <c r="G202">
        <v>50</v>
      </c>
      <c r="H202">
        <v>3</v>
      </c>
      <c r="I202" t="s">
        <v>39</v>
      </c>
      <c r="J202" t="s">
        <v>42</v>
      </c>
      <c r="K202">
        <v>90</v>
      </c>
    </row>
    <row r="203" spans="1:11" x14ac:dyDescent="0.4">
      <c r="A203" t="s">
        <v>247</v>
      </c>
      <c r="B203" t="s">
        <v>38</v>
      </c>
      <c r="C203">
        <v>78</v>
      </c>
      <c r="D203" t="s">
        <v>34</v>
      </c>
      <c r="E203">
        <v>5</v>
      </c>
      <c r="F203">
        <v>0.25</v>
      </c>
      <c r="G203">
        <v>25</v>
      </c>
      <c r="H203">
        <v>3</v>
      </c>
      <c r="I203" t="s">
        <v>39</v>
      </c>
      <c r="J203" t="s">
        <v>36</v>
      </c>
      <c r="K203">
        <v>50</v>
      </c>
    </row>
    <row r="204" spans="1:11" x14ac:dyDescent="0.4">
      <c r="A204" t="s">
        <v>248</v>
      </c>
      <c r="B204" t="s">
        <v>38</v>
      </c>
      <c r="C204">
        <v>46</v>
      </c>
      <c r="D204" t="s">
        <v>52</v>
      </c>
      <c r="E204">
        <v>5</v>
      </c>
      <c r="F204">
        <v>2</v>
      </c>
      <c r="G204">
        <v>100</v>
      </c>
      <c r="H204">
        <v>2</v>
      </c>
      <c r="I204" t="s">
        <v>35</v>
      </c>
      <c r="J204" t="s">
        <v>36</v>
      </c>
      <c r="K204">
        <v>180</v>
      </c>
    </row>
    <row r="205" spans="1:11" x14ac:dyDescent="0.4">
      <c r="A205" t="s">
        <v>249</v>
      </c>
      <c r="B205" t="s">
        <v>38</v>
      </c>
      <c r="C205">
        <v>38</v>
      </c>
      <c r="D205" t="s">
        <v>52</v>
      </c>
      <c r="E205">
        <v>5</v>
      </c>
      <c r="F205">
        <v>1</v>
      </c>
      <c r="G205">
        <v>75</v>
      </c>
      <c r="H205">
        <v>2</v>
      </c>
      <c r="I205" t="s">
        <v>35</v>
      </c>
      <c r="J205" t="s">
        <v>36</v>
      </c>
      <c r="K205">
        <v>360</v>
      </c>
    </row>
    <row r="206" spans="1:11" x14ac:dyDescent="0.4">
      <c r="A206" t="s">
        <v>250</v>
      </c>
      <c r="B206" t="s">
        <v>33</v>
      </c>
      <c r="C206">
        <v>37</v>
      </c>
      <c r="D206" t="s">
        <v>45</v>
      </c>
      <c r="E206">
        <v>7</v>
      </c>
      <c r="F206">
        <v>0.25</v>
      </c>
      <c r="G206">
        <v>50</v>
      </c>
      <c r="H206">
        <v>2</v>
      </c>
      <c r="I206" t="s">
        <v>35</v>
      </c>
      <c r="J206" t="s">
        <v>42</v>
      </c>
      <c r="K206">
        <v>270</v>
      </c>
    </row>
    <row r="207" spans="1:11" x14ac:dyDescent="0.4">
      <c r="A207" t="s">
        <v>251</v>
      </c>
      <c r="B207" t="s">
        <v>33</v>
      </c>
      <c r="C207">
        <v>58</v>
      </c>
      <c r="D207" t="s">
        <v>34</v>
      </c>
      <c r="E207">
        <v>6</v>
      </c>
      <c r="F207">
        <v>0.25</v>
      </c>
      <c r="G207">
        <v>150</v>
      </c>
      <c r="H207">
        <v>4</v>
      </c>
      <c r="I207" t="s">
        <v>39</v>
      </c>
      <c r="J207" t="s">
        <v>36</v>
      </c>
      <c r="K207">
        <v>100</v>
      </c>
    </row>
    <row r="208" spans="1:11" x14ac:dyDescent="0.4">
      <c r="A208" t="s">
        <v>252</v>
      </c>
      <c r="B208" t="s">
        <v>33</v>
      </c>
      <c r="C208">
        <v>24</v>
      </c>
      <c r="D208" t="s">
        <v>52</v>
      </c>
      <c r="E208">
        <v>2</v>
      </c>
      <c r="F208">
        <v>0.5</v>
      </c>
      <c r="G208">
        <v>25</v>
      </c>
      <c r="H208">
        <v>4</v>
      </c>
      <c r="I208" t="s">
        <v>41</v>
      </c>
      <c r="J208" t="s">
        <v>36</v>
      </c>
      <c r="K208">
        <v>450</v>
      </c>
    </row>
    <row r="209" spans="1:11" x14ac:dyDescent="0.4">
      <c r="A209" t="s">
        <v>253</v>
      </c>
      <c r="B209" t="s">
        <v>38</v>
      </c>
      <c r="C209">
        <v>51</v>
      </c>
      <c r="D209" t="s">
        <v>52</v>
      </c>
      <c r="E209">
        <v>3</v>
      </c>
      <c r="F209">
        <v>1</v>
      </c>
      <c r="G209">
        <v>100</v>
      </c>
      <c r="H209">
        <v>2</v>
      </c>
      <c r="I209" t="s">
        <v>50</v>
      </c>
      <c r="J209" t="s">
        <v>36</v>
      </c>
      <c r="K209">
        <v>180</v>
      </c>
    </row>
    <row r="210" spans="1:11" x14ac:dyDescent="0.4">
      <c r="A210" t="s">
        <v>254</v>
      </c>
      <c r="B210" t="s">
        <v>38</v>
      </c>
      <c r="C210">
        <v>38</v>
      </c>
      <c r="D210" t="s">
        <v>52</v>
      </c>
      <c r="E210">
        <v>4</v>
      </c>
      <c r="F210">
        <v>0.5</v>
      </c>
      <c r="G210">
        <v>40</v>
      </c>
      <c r="H210">
        <v>2</v>
      </c>
      <c r="I210" t="s">
        <v>41</v>
      </c>
      <c r="J210" t="s">
        <v>42</v>
      </c>
      <c r="K210">
        <v>270</v>
      </c>
    </row>
    <row r="211" spans="1:11" x14ac:dyDescent="0.4">
      <c r="A211" t="s">
        <v>255</v>
      </c>
      <c r="B211" t="s">
        <v>33</v>
      </c>
      <c r="C211">
        <v>64</v>
      </c>
      <c r="D211" t="s">
        <v>100</v>
      </c>
      <c r="E211">
        <v>1</v>
      </c>
      <c r="F211">
        <v>0.5</v>
      </c>
      <c r="G211">
        <v>48</v>
      </c>
      <c r="H211">
        <v>2</v>
      </c>
      <c r="I211" t="s">
        <v>35</v>
      </c>
      <c r="J211" t="s">
        <v>36</v>
      </c>
      <c r="K211">
        <v>75</v>
      </c>
    </row>
    <row r="212" spans="1:11" x14ac:dyDescent="0.4">
      <c r="A212" t="s">
        <v>256</v>
      </c>
      <c r="B212" t="s">
        <v>38</v>
      </c>
      <c r="C212">
        <v>50</v>
      </c>
      <c r="D212" t="s">
        <v>34</v>
      </c>
      <c r="E212">
        <v>4</v>
      </c>
      <c r="F212">
        <v>0.5</v>
      </c>
      <c r="G212">
        <v>40</v>
      </c>
      <c r="H212">
        <v>3</v>
      </c>
      <c r="I212" t="s">
        <v>35</v>
      </c>
      <c r="J212" t="s">
        <v>36</v>
      </c>
      <c r="K212">
        <v>180</v>
      </c>
    </row>
    <row r="213" spans="1:11" x14ac:dyDescent="0.4">
      <c r="A213" t="s">
        <v>257</v>
      </c>
      <c r="B213" t="s">
        <v>33</v>
      </c>
      <c r="C213">
        <v>53</v>
      </c>
      <c r="D213" t="s">
        <v>45</v>
      </c>
      <c r="E213">
        <v>5</v>
      </c>
      <c r="F213">
        <v>1</v>
      </c>
      <c r="G213">
        <v>120</v>
      </c>
      <c r="H213">
        <v>3</v>
      </c>
      <c r="I213" t="s">
        <v>39</v>
      </c>
      <c r="J213" t="s">
        <v>42</v>
      </c>
      <c r="K213">
        <v>180</v>
      </c>
    </row>
    <row r="214" spans="1:11" x14ac:dyDescent="0.4">
      <c r="A214" t="s">
        <v>258</v>
      </c>
      <c r="B214" t="s">
        <v>38</v>
      </c>
      <c r="C214">
        <v>50</v>
      </c>
      <c r="D214" t="s">
        <v>34</v>
      </c>
      <c r="E214">
        <v>3</v>
      </c>
      <c r="F214">
        <v>0.5</v>
      </c>
      <c r="G214">
        <v>50</v>
      </c>
      <c r="H214">
        <v>2</v>
      </c>
      <c r="I214" t="s">
        <v>39</v>
      </c>
      <c r="J214" t="s">
        <v>36</v>
      </c>
      <c r="K214">
        <v>180</v>
      </c>
    </row>
    <row r="215" spans="1:11" x14ac:dyDescent="0.4">
      <c r="A215" t="s">
        <v>259</v>
      </c>
      <c r="B215" t="s">
        <v>38</v>
      </c>
      <c r="C215">
        <v>37</v>
      </c>
      <c r="D215" t="s">
        <v>34</v>
      </c>
      <c r="E215">
        <v>6</v>
      </c>
      <c r="F215">
        <v>1</v>
      </c>
      <c r="G215">
        <v>100</v>
      </c>
      <c r="H215">
        <v>2</v>
      </c>
      <c r="I215" t="s">
        <v>41</v>
      </c>
      <c r="J215" t="s">
        <v>36</v>
      </c>
      <c r="K215">
        <v>220</v>
      </c>
    </row>
    <row r="216" spans="1:11" x14ac:dyDescent="0.4">
      <c r="A216" t="s">
        <v>260</v>
      </c>
      <c r="B216" t="s">
        <v>38</v>
      </c>
      <c r="C216">
        <v>41</v>
      </c>
      <c r="D216" t="s">
        <v>52</v>
      </c>
      <c r="E216">
        <v>6</v>
      </c>
      <c r="F216">
        <v>0.5</v>
      </c>
      <c r="G216">
        <v>50</v>
      </c>
      <c r="H216">
        <v>2</v>
      </c>
      <c r="I216" t="s">
        <v>35</v>
      </c>
      <c r="J216" t="s">
        <v>36</v>
      </c>
      <c r="K216">
        <v>270</v>
      </c>
    </row>
    <row r="217" spans="1:11" x14ac:dyDescent="0.4">
      <c r="A217" t="s">
        <v>261</v>
      </c>
      <c r="B217" t="s">
        <v>38</v>
      </c>
      <c r="C217">
        <v>34</v>
      </c>
      <c r="D217" t="s">
        <v>52</v>
      </c>
      <c r="E217">
        <v>5</v>
      </c>
      <c r="F217">
        <v>0.75</v>
      </c>
      <c r="G217">
        <v>25</v>
      </c>
      <c r="H217">
        <v>2</v>
      </c>
      <c r="I217" t="s">
        <v>35</v>
      </c>
      <c r="J217" t="s">
        <v>36</v>
      </c>
      <c r="K217">
        <v>360</v>
      </c>
    </row>
    <row r="218" spans="1:11" x14ac:dyDescent="0.4">
      <c r="A218" t="s">
        <v>262</v>
      </c>
      <c r="B218" t="s">
        <v>38</v>
      </c>
      <c r="C218">
        <v>39</v>
      </c>
      <c r="D218" t="s">
        <v>34</v>
      </c>
      <c r="E218">
        <v>5</v>
      </c>
      <c r="F218">
        <v>0.25</v>
      </c>
      <c r="G218">
        <v>20</v>
      </c>
      <c r="H218">
        <v>2</v>
      </c>
      <c r="I218" t="s">
        <v>35</v>
      </c>
      <c r="J218" t="s">
        <v>36</v>
      </c>
      <c r="K218">
        <v>270</v>
      </c>
    </row>
    <row r="219" spans="1:11" x14ac:dyDescent="0.4">
      <c r="A219" t="s">
        <v>263</v>
      </c>
      <c r="B219" t="s">
        <v>38</v>
      </c>
      <c r="C219">
        <v>72</v>
      </c>
      <c r="D219" t="s">
        <v>34</v>
      </c>
      <c r="E219">
        <v>4</v>
      </c>
      <c r="F219">
        <v>0.25</v>
      </c>
      <c r="G219">
        <v>30</v>
      </c>
      <c r="H219">
        <v>4</v>
      </c>
      <c r="I219" t="s">
        <v>35</v>
      </c>
      <c r="J219" t="s">
        <v>36</v>
      </c>
      <c r="K219">
        <v>90</v>
      </c>
    </row>
    <row r="220" spans="1:11" x14ac:dyDescent="0.4">
      <c r="A220" t="s">
        <v>264</v>
      </c>
      <c r="B220" t="s">
        <v>38</v>
      </c>
      <c r="C220">
        <v>51</v>
      </c>
      <c r="D220" t="s">
        <v>52</v>
      </c>
      <c r="E220">
        <v>3</v>
      </c>
      <c r="F220">
        <v>1</v>
      </c>
      <c r="G220">
        <v>25</v>
      </c>
      <c r="H220">
        <v>2</v>
      </c>
      <c r="I220" t="s">
        <v>41</v>
      </c>
      <c r="J220" t="s">
        <v>36</v>
      </c>
      <c r="K220">
        <v>180</v>
      </c>
    </row>
    <row r="221" spans="1:11" x14ac:dyDescent="0.4">
      <c r="A221" t="s">
        <v>265</v>
      </c>
      <c r="B221" t="s">
        <v>38</v>
      </c>
      <c r="C221">
        <v>40</v>
      </c>
      <c r="D221" t="s">
        <v>34</v>
      </c>
      <c r="E221">
        <v>4</v>
      </c>
      <c r="F221">
        <v>1</v>
      </c>
      <c r="G221">
        <v>25</v>
      </c>
      <c r="H221">
        <v>2</v>
      </c>
      <c r="I221" t="s">
        <v>41</v>
      </c>
      <c r="J221" t="s">
        <v>36</v>
      </c>
      <c r="K221">
        <v>250</v>
      </c>
    </row>
    <row r="222" spans="1:11" x14ac:dyDescent="0.4">
      <c r="A222" t="s">
        <v>266</v>
      </c>
      <c r="B222" t="s">
        <v>38</v>
      </c>
      <c r="C222">
        <v>62</v>
      </c>
      <c r="D222" t="s">
        <v>52</v>
      </c>
      <c r="E222">
        <v>5</v>
      </c>
      <c r="F222">
        <v>0.5</v>
      </c>
      <c r="G222">
        <v>50</v>
      </c>
      <c r="H222">
        <v>4</v>
      </c>
      <c r="I222" t="s">
        <v>35</v>
      </c>
      <c r="J222" t="s">
        <v>42</v>
      </c>
      <c r="K222">
        <v>90</v>
      </c>
    </row>
    <row r="223" spans="1:11" x14ac:dyDescent="0.4">
      <c r="A223" t="s">
        <v>267</v>
      </c>
      <c r="B223" t="s">
        <v>38</v>
      </c>
      <c r="C223">
        <v>53</v>
      </c>
      <c r="D223" t="s">
        <v>52</v>
      </c>
      <c r="E223">
        <v>4</v>
      </c>
      <c r="F223">
        <v>0.5</v>
      </c>
      <c r="G223">
        <v>80</v>
      </c>
      <c r="H223">
        <v>3</v>
      </c>
      <c r="I223" t="s">
        <v>39</v>
      </c>
      <c r="J223" t="s">
        <v>36</v>
      </c>
      <c r="K223">
        <v>180</v>
      </c>
    </row>
    <row r="224" spans="1:11" x14ac:dyDescent="0.4">
      <c r="A224" t="s">
        <v>268</v>
      </c>
      <c r="B224" t="s">
        <v>38</v>
      </c>
      <c r="C224">
        <v>31</v>
      </c>
      <c r="D224" t="s">
        <v>34</v>
      </c>
      <c r="E224">
        <v>4</v>
      </c>
      <c r="F224">
        <v>2.5</v>
      </c>
      <c r="G224">
        <v>50</v>
      </c>
      <c r="H224">
        <v>3</v>
      </c>
      <c r="I224" t="s">
        <v>35</v>
      </c>
      <c r="J224" t="s">
        <v>36</v>
      </c>
      <c r="K224">
        <v>450</v>
      </c>
    </row>
    <row r="225" spans="1:11" x14ac:dyDescent="0.4">
      <c r="A225" t="s">
        <v>269</v>
      </c>
      <c r="B225" t="s">
        <v>38</v>
      </c>
      <c r="C225">
        <v>57</v>
      </c>
      <c r="D225" t="s">
        <v>34</v>
      </c>
      <c r="E225">
        <v>5</v>
      </c>
      <c r="F225">
        <v>0.25</v>
      </c>
      <c r="G225">
        <v>25</v>
      </c>
      <c r="H225">
        <v>3</v>
      </c>
      <c r="I225" t="s">
        <v>39</v>
      </c>
      <c r="J225" t="s">
        <v>36</v>
      </c>
      <c r="K225">
        <v>80</v>
      </c>
    </row>
    <row r="226" spans="1:11" x14ac:dyDescent="0.4">
      <c r="A226" t="s">
        <v>270</v>
      </c>
      <c r="B226" t="s">
        <v>38</v>
      </c>
      <c r="C226">
        <v>75</v>
      </c>
      <c r="D226" t="s">
        <v>34</v>
      </c>
      <c r="E226">
        <v>5</v>
      </c>
      <c r="F226">
        <v>0.25</v>
      </c>
      <c r="G226">
        <v>25</v>
      </c>
      <c r="H226">
        <v>4</v>
      </c>
      <c r="I226" t="s">
        <v>50</v>
      </c>
      <c r="J226" t="s">
        <v>36</v>
      </c>
      <c r="K226">
        <v>90</v>
      </c>
    </row>
    <row r="227" spans="1:11" x14ac:dyDescent="0.4">
      <c r="A227" t="s">
        <v>271</v>
      </c>
      <c r="B227" t="s">
        <v>33</v>
      </c>
      <c r="C227">
        <v>38</v>
      </c>
      <c r="D227" t="s">
        <v>52</v>
      </c>
      <c r="E227">
        <v>9</v>
      </c>
      <c r="F227">
        <v>0.5</v>
      </c>
      <c r="G227">
        <v>200</v>
      </c>
      <c r="H227">
        <v>5</v>
      </c>
      <c r="I227" t="s">
        <v>35</v>
      </c>
      <c r="J227" t="s">
        <v>36</v>
      </c>
      <c r="K227">
        <v>270</v>
      </c>
    </row>
    <row r="228" spans="1:11" x14ac:dyDescent="0.4">
      <c r="A228" t="s">
        <v>272</v>
      </c>
      <c r="B228" t="s">
        <v>38</v>
      </c>
      <c r="C228">
        <v>71</v>
      </c>
      <c r="D228" t="s">
        <v>34</v>
      </c>
      <c r="E228">
        <v>4</v>
      </c>
      <c r="F228">
        <v>0.75</v>
      </c>
      <c r="G228">
        <v>25</v>
      </c>
      <c r="H228">
        <v>3</v>
      </c>
      <c r="I228" t="s">
        <v>35</v>
      </c>
      <c r="J228" t="s">
        <v>36</v>
      </c>
      <c r="K228">
        <v>90</v>
      </c>
    </row>
    <row r="229" spans="1:11" x14ac:dyDescent="0.4">
      <c r="A229" t="s">
        <v>273</v>
      </c>
      <c r="B229" t="s">
        <v>38</v>
      </c>
      <c r="C229">
        <v>63</v>
      </c>
      <c r="D229" t="s">
        <v>34</v>
      </c>
      <c r="E229">
        <v>3</v>
      </c>
      <c r="F229">
        <v>0.5</v>
      </c>
      <c r="G229">
        <v>100</v>
      </c>
      <c r="H229">
        <v>3</v>
      </c>
      <c r="I229" t="s">
        <v>35</v>
      </c>
      <c r="J229" t="s">
        <v>36</v>
      </c>
      <c r="K229">
        <v>60</v>
      </c>
    </row>
    <row r="230" spans="1:11" x14ac:dyDescent="0.4">
      <c r="A230" t="s">
        <v>274</v>
      </c>
      <c r="B230" t="s">
        <v>33</v>
      </c>
      <c r="C230">
        <v>37</v>
      </c>
      <c r="D230" t="s">
        <v>45</v>
      </c>
      <c r="E230">
        <v>7</v>
      </c>
      <c r="F230">
        <v>3</v>
      </c>
      <c r="G230">
        <v>251</v>
      </c>
      <c r="H230">
        <v>2</v>
      </c>
      <c r="I230" t="s">
        <v>35</v>
      </c>
      <c r="J230" t="s">
        <v>42</v>
      </c>
      <c r="K230">
        <v>270</v>
      </c>
    </row>
    <row r="231" spans="1:11" x14ac:dyDescent="0.4">
      <c r="A231" t="s">
        <v>275</v>
      </c>
      <c r="B231" t="s">
        <v>33</v>
      </c>
      <c r="C231">
        <v>73</v>
      </c>
      <c r="D231" t="s">
        <v>34</v>
      </c>
      <c r="E231">
        <v>5</v>
      </c>
      <c r="F231">
        <v>0.3</v>
      </c>
      <c r="G231">
        <v>20</v>
      </c>
      <c r="H231">
        <v>3</v>
      </c>
      <c r="I231" t="s">
        <v>39</v>
      </c>
      <c r="J231" t="s">
        <v>36</v>
      </c>
      <c r="K231">
        <v>90</v>
      </c>
    </row>
    <row r="232" spans="1:11" x14ac:dyDescent="0.4">
      <c r="A232" t="s">
        <v>276</v>
      </c>
      <c r="B232" t="s">
        <v>38</v>
      </c>
      <c r="C232">
        <v>43</v>
      </c>
      <c r="D232" t="s">
        <v>52</v>
      </c>
      <c r="E232">
        <v>6</v>
      </c>
      <c r="F232">
        <v>1.5</v>
      </c>
      <c r="G232">
        <v>100</v>
      </c>
      <c r="H232">
        <v>2</v>
      </c>
      <c r="I232" t="s">
        <v>39</v>
      </c>
      <c r="J232" t="s">
        <v>42</v>
      </c>
      <c r="K232">
        <v>330</v>
      </c>
    </row>
    <row r="233" spans="1:11" x14ac:dyDescent="0.4">
      <c r="A233" t="s">
        <v>277</v>
      </c>
      <c r="B233" t="s">
        <v>38</v>
      </c>
      <c r="C233">
        <v>56</v>
      </c>
      <c r="D233" t="s">
        <v>52</v>
      </c>
      <c r="E233">
        <v>3</v>
      </c>
      <c r="F233">
        <v>3</v>
      </c>
      <c r="G233">
        <v>480</v>
      </c>
      <c r="H233">
        <v>2</v>
      </c>
      <c r="I233" t="s">
        <v>39</v>
      </c>
      <c r="J233" t="s">
        <v>36</v>
      </c>
      <c r="K233">
        <v>90</v>
      </c>
    </row>
    <row r="234" spans="1:11" x14ac:dyDescent="0.4">
      <c r="A234" t="s">
        <v>278</v>
      </c>
      <c r="B234" t="s">
        <v>38</v>
      </c>
      <c r="C234">
        <v>36</v>
      </c>
      <c r="D234" t="s">
        <v>34</v>
      </c>
      <c r="E234">
        <v>4</v>
      </c>
      <c r="F234">
        <v>1</v>
      </c>
      <c r="G234">
        <v>20</v>
      </c>
      <c r="H234">
        <v>3</v>
      </c>
      <c r="I234" t="s">
        <v>35</v>
      </c>
      <c r="J234" t="s">
        <v>36</v>
      </c>
      <c r="K234">
        <v>180</v>
      </c>
    </row>
    <row r="235" spans="1:11" x14ac:dyDescent="0.4">
      <c r="A235" t="s">
        <v>279</v>
      </c>
      <c r="B235" t="s">
        <v>38</v>
      </c>
      <c r="C235">
        <v>41</v>
      </c>
      <c r="D235" t="s">
        <v>52</v>
      </c>
      <c r="E235">
        <v>6</v>
      </c>
      <c r="F235">
        <v>0.75</v>
      </c>
      <c r="G235">
        <v>70</v>
      </c>
      <c r="H235">
        <v>3</v>
      </c>
      <c r="I235" t="s">
        <v>39</v>
      </c>
      <c r="J235" t="s">
        <v>42</v>
      </c>
      <c r="K235">
        <v>300</v>
      </c>
    </row>
    <row r="236" spans="1:11" x14ac:dyDescent="0.4">
      <c r="A236" t="s">
        <v>280</v>
      </c>
      <c r="B236" t="s">
        <v>33</v>
      </c>
      <c r="C236">
        <v>19</v>
      </c>
      <c r="D236" t="s">
        <v>34</v>
      </c>
      <c r="E236">
        <v>5</v>
      </c>
      <c r="F236">
        <v>1.5</v>
      </c>
      <c r="G236">
        <v>25</v>
      </c>
      <c r="H236">
        <v>4</v>
      </c>
      <c r="I236" t="s">
        <v>35</v>
      </c>
      <c r="J236" t="s">
        <v>36</v>
      </c>
      <c r="K236">
        <v>450</v>
      </c>
    </row>
    <row r="237" spans="1:11" x14ac:dyDescent="0.4">
      <c r="A237" t="s">
        <v>281</v>
      </c>
      <c r="B237" t="s">
        <v>38</v>
      </c>
      <c r="C237">
        <v>37</v>
      </c>
      <c r="D237" t="s">
        <v>34</v>
      </c>
      <c r="E237">
        <v>3</v>
      </c>
      <c r="F237">
        <v>2</v>
      </c>
      <c r="G237">
        <v>100</v>
      </c>
      <c r="H237">
        <v>2</v>
      </c>
      <c r="I237" t="s">
        <v>35</v>
      </c>
      <c r="J237" t="s">
        <v>36</v>
      </c>
      <c r="K237">
        <v>330</v>
      </c>
    </row>
    <row r="238" spans="1:11" x14ac:dyDescent="0.4">
      <c r="A238" t="s">
        <v>282</v>
      </c>
      <c r="B238" t="s">
        <v>33</v>
      </c>
      <c r="C238">
        <v>63</v>
      </c>
      <c r="D238" t="s">
        <v>34</v>
      </c>
      <c r="E238">
        <v>6</v>
      </c>
      <c r="F238">
        <v>0.25</v>
      </c>
      <c r="G238">
        <v>100</v>
      </c>
      <c r="H238">
        <v>3</v>
      </c>
      <c r="I238" t="s">
        <v>39</v>
      </c>
      <c r="J238" t="s">
        <v>36</v>
      </c>
      <c r="K238">
        <v>90</v>
      </c>
    </row>
    <row r="239" spans="1:11" x14ac:dyDescent="0.4">
      <c r="A239" t="s">
        <v>283</v>
      </c>
      <c r="B239" t="s">
        <v>38</v>
      </c>
      <c r="C239">
        <v>61</v>
      </c>
      <c r="D239" t="s">
        <v>34</v>
      </c>
      <c r="E239">
        <v>3</v>
      </c>
      <c r="F239">
        <v>1</v>
      </c>
      <c r="G239">
        <v>100</v>
      </c>
      <c r="H239">
        <v>3</v>
      </c>
      <c r="I239" t="s">
        <v>35</v>
      </c>
      <c r="J239" t="s">
        <v>36</v>
      </c>
      <c r="K239">
        <v>100</v>
      </c>
    </row>
    <row r="240" spans="1:11" x14ac:dyDescent="0.4">
      <c r="A240" t="s">
        <v>284</v>
      </c>
      <c r="B240" t="s">
        <v>38</v>
      </c>
      <c r="C240">
        <v>41</v>
      </c>
      <c r="D240" t="s">
        <v>52</v>
      </c>
      <c r="E240">
        <v>5</v>
      </c>
      <c r="F240">
        <v>0.25</v>
      </c>
      <c r="G240">
        <v>150</v>
      </c>
      <c r="H240">
        <v>2</v>
      </c>
      <c r="I240" t="s">
        <v>39</v>
      </c>
      <c r="J240" t="s">
        <v>36</v>
      </c>
      <c r="K240">
        <v>360</v>
      </c>
    </row>
    <row r="241" spans="1:11" x14ac:dyDescent="0.4">
      <c r="A241" t="s">
        <v>285</v>
      </c>
      <c r="B241" t="s">
        <v>33</v>
      </c>
      <c r="C241">
        <v>51</v>
      </c>
      <c r="D241" t="s">
        <v>34</v>
      </c>
      <c r="E241">
        <v>6</v>
      </c>
      <c r="F241">
        <v>0.25</v>
      </c>
      <c r="G241">
        <v>50</v>
      </c>
      <c r="H241">
        <v>5</v>
      </c>
      <c r="I241" t="s">
        <v>35</v>
      </c>
      <c r="J241" t="s">
        <v>36</v>
      </c>
      <c r="K241">
        <v>180</v>
      </c>
    </row>
    <row r="242" spans="1:11" x14ac:dyDescent="0.4">
      <c r="A242" t="s">
        <v>286</v>
      </c>
      <c r="B242" t="s">
        <v>38</v>
      </c>
      <c r="C242">
        <v>42</v>
      </c>
      <c r="D242" t="s">
        <v>52</v>
      </c>
      <c r="E242">
        <v>5</v>
      </c>
      <c r="F242">
        <v>1</v>
      </c>
      <c r="G242">
        <v>50</v>
      </c>
      <c r="H242">
        <v>3</v>
      </c>
      <c r="I242" t="s">
        <v>41</v>
      </c>
      <c r="J242" t="s">
        <v>36</v>
      </c>
      <c r="K242">
        <v>270</v>
      </c>
    </row>
    <row r="243" spans="1:11" x14ac:dyDescent="0.4">
      <c r="A243" t="s">
        <v>287</v>
      </c>
      <c r="B243" t="s">
        <v>38</v>
      </c>
      <c r="C243">
        <v>49</v>
      </c>
      <c r="D243" t="s">
        <v>34</v>
      </c>
      <c r="E243">
        <v>2</v>
      </c>
      <c r="F243">
        <v>1</v>
      </c>
      <c r="G243">
        <v>50</v>
      </c>
      <c r="H243">
        <v>4</v>
      </c>
      <c r="I243" t="s">
        <v>39</v>
      </c>
      <c r="J243" t="s">
        <v>36</v>
      </c>
      <c r="K243">
        <v>90</v>
      </c>
    </row>
    <row r="244" spans="1:11" x14ac:dyDescent="0.4">
      <c r="A244" t="s">
        <v>288</v>
      </c>
      <c r="B244" t="s">
        <v>38</v>
      </c>
      <c r="C244">
        <v>64</v>
      </c>
      <c r="D244" t="s">
        <v>34</v>
      </c>
      <c r="E244">
        <v>3</v>
      </c>
      <c r="F244">
        <v>0.5</v>
      </c>
      <c r="G244">
        <v>40</v>
      </c>
      <c r="H244">
        <v>2</v>
      </c>
      <c r="I244" t="s">
        <v>35</v>
      </c>
      <c r="J244" t="s">
        <v>36</v>
      </c>
      <c r="K244">
        <v>50</v>
      </c>
    </row>
    <row r="245" spans="1:11" x14ac:dyDescent="0.4">
      <c r="A245" t="s">
        <v>289</v>
      </c>
      <c r="B245" t="s">
        <v>38</v>
      </c>
      <c r="C245">
        <v>65</v>
      </c>
      <c r="D245" t="s">
        <v>34</v>
      </c>
      <c r="E245">
        <v>1</v>
      </c>
      <c r="F245">
        <v>0.25</v>
      </c>
      <c r="G245">
        <v>30</v>
      </c>
      <c r="H245">
        <v>3</v>
      </c>
      <c r="I245" t="s">
        <v>35</v>
      </c>
      <c r="J245" t="s">
        <v>42</v>
      </c>
      <c r="K245">
        <v>100</v>
      </c>
    </row>
    <row r="246" spans="1:11" x14ac:dyDescent="0.4">
      <c r="A246" t="s">
        <v>290</v>
      </c>
      <c r="B246" t="s">
        <v>33</v>
      </c>
      <c r="C246">
        <v>60</v>
      </c>
      <c r="D246" t="s">
        <v>34</v>
      </c>
      <c r="E246">
        <v>6</v>
      </c>
      <c r="F246">
        <v>0.3</v>
      </c>
      <c r="G246">
        <v>50</v>
      </c>
      <c r="H246">
        <v>5</v>
      </c>
      <c r="I246" t="s">
        <v>39</v>
      </c>
      <c r="J246" t="s">
        <v>36</v>
      </c>
      <c r="K246">
        <v>50</v>
      </c>
    </row>
    <row r="247" spans="1:11" x14ac:dyDescent="0.4">
      <c r="A247" t="s">
        <v>291</v>
      </c>
      <c r="B247" t="s">
        <v>38</v>
      </c>
      <c r="C247">
        <v>39</v>
      </c>
      <c r="D247" t="s">
        <v>52</v>
      </c>
      <c r="E247">
        <v>2</v>
      </c>
      <c r="F247">
        <v>2</v>
      </c>
      <c r="G247">
        <v>50</v>
      </c>
      <c r="H247">
        <v>2</v>
      </c>
      <c r="I247" t="s">
        <v>41</v>
      </c>
      <c r="J247" t="s">
        <v>42</v>
      </c>
      <c r="K247">
        <v>300</v>
      </c>
    </row>
    <row r="248" spans="1:11" x14ac:dyDescent="0.4">
      <c r="A248" t="s">
        <v>292</v>
      </c>
      <c r="B248" t="s">
        <v>33</v>
      </c>
      <c r="C248">
        <v>55</v>
      </c>
      <c r="D248" t="s">
        <v>34</v>
      </c>
      <c r="E248">
        <v>6</v>
      </c>
      <c r="F248">
        <v>0.25</v>
      </c>
      <c r="G248">
        <v>50</v>
      </c>
      <c r="H248">
        <v>3</v>
      </c>
      <c r="I248" t="s">
        <v>35</v>
      </c>
      <c r="J248" t="s">
        <v>36</v>
      </c>
      <c r="K248">
        <v>90</v>
      </c>
    </row>
    <row r="249" spans="1:11" x14ac:dyDescent="0.4">
      <c r="A249" t="s">
        <v>293</v>
      </c>
      <c r="B249" t="s">
        <v>33</v>
      </c>
      <c r="C249">
        <v>46</v>
      </c>
      <c r="D249" t="s">
        <v>45</v>
      </c>
      <c r="E249">
        <v>3</v>
      </c>
      <c r="F249">
        <v>0.5</v>
      </c>
      <c r="G249">
        <v>25</v>
      </c>
      <c r="H249">
        <v>2</v>
      </c>
      <c r="I249" t="s">
        <v>35</v>
      </c>
      <c r="J249" t="s">
        <v>42</v>
      </c>
      <c r="K249">
        <v>125</v>
      </c>
    </row>
    <row r="250" spans="1:11" x14ac:dyDescent="0.4">
      <c r="A250" t="s">
        <v>294</v>
      </c>
      <c r="B250" t="s">
        <v>38</v>
      </c>
      <c r="C250">
        <v>53</v>
      </c>
      <c r="D250" t="s">
        <v>34</v>
      </c>
      <c r="E250">
        <v>2</v>
      </c>
      <c r="F250">
        <v>0.5</v>
      </c>
      <c r="G250">
        <v>20</v>
      </c>
      <c r="H250">
        <v>3</v>
      </c>
      <c r="I250" t="s">
        <v>35</v>
      </c>
      <c r="J250" t="s">
        <v>42</v>
      </c>
      <c r="K250">
        <v>160</v>
      </c>
    </row>
    <row r="251" spans="1:11" x14ac:dyDescent="0.4">
      <c r="A251" t="s">
        <v>295</v>
      </c>
      <c r="B251" t="s">
        <v>33</v>
      </c>
      <c r="C251">
        <v>30</v>
      </c>
      <c r="D251" t="s">
        <v>52</v>
      </c>
      <c r="E251">
        <v>1</v>
      </c>
      <c r="F251">
        <v>1.5</v>
      </c>
      <c r="G251">
        <v>20</v>
      </c>
      <c r="H251">
        <v>4</v>
      </c>
      <c r="I251" t="s">
        <v>35</v>
      </c>
      <c r="J251" t="s">
        <v>36</v>
      </c>
      <c r="K251">
        <v>360</v>
      </c>
    </row>
    <row r="252" spans="1:11" x14ac:dyDescent="0.4">
      <c r="A252" t="s">
        <v>296</v>
      </c>
      <c r="B252" t="s">
        <v>38</v>
      </c>
      <c r="C252">
        <v>39</v>
      </c>
      <c r="D252" t="s">
        <v>34</v>
      </c>
      <c r="E252">
        <v>3</v>
      </c>
      <c r="F252">
        <v>1</v>
      </c>
      <c r="G252">
        <v>50</v>
      </c>
      <c r="H252">
        <v>2</v>
      </c>
      <c r="I252" t="s">
        <v>35</v>
      </c>
      <c r="J252" t="s">
        <v>42</v>
      </c>
      <c r="K252">
        <v>270</v>
      </c>
    </row>
    <row r="253" spans="1:11" x14ac:dyDescent="0.4">
      <c r="A253" t="s">
        <v>297</v>
      </c>
      <c r="B253" t="s">
        <v>38</v>
      </c>
      <c r="C253">
        <v>39</v>
      </c>
      <c r="D253" t="s">
        <v>52</v>
      </c>
      <c r="E253">
        <v>3</v>
      </c>
      <c r="F253">
        <v>1</v>
      </c>
      <c r="G253">
        <v>100</v>
      </c>
      <c r="H253">
        <v>3</v>
      </c>
      <c r="I253" t="s">
        <v>41</v>
      </c>
      <c r="J253" t="s">
        <v>36</v>
      </c>
      <c r="K253">
        <v>200</v>
      </c>
    </row>
    <row r="254" spans="1:11" x14ac:dyDescent="0.4">
      <c r="A254" t="s">
        <v>298</v>
      </c>
      <c r="B254" t="s">
        <v>38</v>
      </c>
      <c r="C254">
        <v>58</v>
      </c>
      <c r="D254" t="s">
        <v>52</v>
      </c>
      <c r="E254">
        <v>3</v>
      </c>
      <c r="F254">
        <v>0.75</v>
      </c>
      <c r="G254">
        <v>50</v>
      </c>
      <c r="H254">
        <v>2</v>
      </c>
      <c r="I254" t="s">
        <v>39</v>
      </c>
      <c r="J254" t="s">
        <v>36</v>
      </c>
      <c r="K254">
        <v>100</v>
      </c>
    </row>
    <row r="255" spans="1:11" x14ac:dyDescent="0.4">
      <c r="A255" t="s">
        <v>299</v>
      </c>
      <c r="B255" t="s">
        <v>38</v>
      </c>
      <c r="C255">
        <v>42</v>
      </c>
      <c r="D255" t="s">
        <v>52</v>
      </c>
      <c r="E255">
        <v>6</v>
      </c>
      <c r="F255">
        <v>0.5</v>
      </c>
      <c r="G255">
        <v>20</v>
      </c>
      <c r="H255">
        <v>2</v>
      </c>
      <c r="I255" t="s">
        <v>41</v>
      </c>
      <c r="J255" t="s">
        <v>36</v>
      </c>
      <c r="K255">
        <v>180</v>
      </c>
    </row>
    <row r="256" spans="1:11" x14ac:dyDescent="0.4">
      <c r="A256" t="s">
        <v>300</v>
      </c>
      <c r="B256" t="s">
        <v>33</v>
      </c>
      <c r="C256">
        <v>58</v>
      </c>
      <c r="D256" t="s">
        <v>52</v>
      </c>
      <c r="E256">
        <v>4</v>
      </c>
      <c r="F256">
        <v>0.25</v>
      </c>
      <c r="G256">
        <v>22</v>
      </c>
      <c r="H256">
        <v>4</v>
      </c>
      <c r="I256" t="s">
        <v>39</v>
      </c>
      <c r="J256" t="s">
        <v>42</v>
      </c>
      <c r="K256">
        <v>70</v>
      </c>
    </row>
    <row r="257" spans="1:11" x14ac:dyDescent="0.4">
      <c r="A257" t="s">
        <v>301</v>
      </c>
      <c r="B257" t="s">
        <v>38</v>
      </c>
      <c r="C257">
        <v>74</v>
      </c>
      <c r="D257" t="s">
        <v>34</v>
      </c>
      <c r="E257">
        <v>7</v>
      </c>
      <c r="F257">
        <v>0.75</v>
      </c>
      <c r="G257">
        <v>25</v>
      </c>
      <c r="H257">
        <v>3</v>
      </c>
      <c r="I257" t="s">
        <v>39</v>
      </c>
      <c r="J257" t="s">
        <v>42</v>
      </c>
      <c r="K257">
        <v>90</v>
      </c>
    </row>
    <row r="258" spans="1:11" x14ac:dyDescent="0.4">
      <c r="A258" t="s">
        <v>302</v>
      </c>
      <c r="B258" t="s">
        <v>38</v>
      </c>
      <c r="C258">
        <v>40</v>
      </c>
      <c r="D258" t="s">
        <v>34</v>
      </c>
      <c r="E258">
        <v>4</v>
      </c>
      <c r="F258">
        <v>0.3</v>
      </c>
      <c r="G258">
        <v>50</v>
      </c>
      <c r="H258">
        <v>3</v>
      </c>
      <c r="I258" t="s">
        <v>35</v>
      </c>
      <c r="J258" t="s">
        <v>36</v>
      </c>
      <c r="K258">
        <v>270</v>
      </c>
    </row>
    <row r="259" spans="1:11" x14ac:dyDescent="0.4">
      <c r="A259" t="s">
        <v>303</v>
      </c>
      <c r="B259" t="s">
        <v>33</v>
      </c>
      <c r="C259">
        <v>51</v>
      </c>
      <c r="D259" t="s">
        <v>34</v>
      </c>
      <c r="E259">
        <v>5</v>
      </c>
      <c r="F259">
        <v>0.5</v>
      </c>
      <c r="G259">
        <v>150</v>
      </c>
      <c r="H259">
        <v>2</v>
      </c>
      <c r="I259" t="s">
        <v>41</v>
      </c>
      <c r="J259" t="s">
        <v>36</v>
      </c>
      <c r="K259">
        <v>180</v>
      </c>
    </row>
    <row r="260" spans="1:11" x14ac:dyDescent="0.4">
      <c r="A260" t="s">
        <v>304</v>
      </c>
      <c r="B260" t="s">
        <v>33</v>
      </c>
      <c r="C260">
        <v>43</v>
      </c>
      <c r="D260" t="s">
        <v>52</v>
      </c>
      <c r="E260">
        <v>3</v>
      </c>
      <c r="F260">
        <v>0.5</v>
      </c>
      <c r="G260">
        <v>30</v>
      </c>
      <c r="H260">
        <v>3</v>
      </c>
      <c r="I260" t="s">
        <v>50</v>
      </c>
      <c r="J260" t="s">
        <v>36</v>
      </c>
      <c r="K260">
        <v>270</v>
      </c>
    </row>
    <row r="261" spans="1:11" x14ac:dyDescent="0.4">
      <c r="A261" t="s">
        <v>305</v>
      </c>
      <c r="B261" t="s">
        <v>38</v>
      </c>
      <c r="C261">
        <v>34</v>
      </c>
      <c r="D261" t="s">
        <v>34</v>
      </c>
      <c r="E261">
        <v>5</v>
      </c>
      <c r="F261">
        <v>2</v>
      </c>
      <c r="G261">
        <v>100</v>
      </c>
      <c r="H261">
        <v>5</v>
      </c>
      <c r="I261" t="s">
        <v>41</v>
      </c>
      <c r="J261" t="s">
        <v>42</v>
      </c>
      <c r="K261">
        <v>450</v>
      </c>
    </row>
    <row r="262" spans="1:11" x14ac:dyDescent="0.4">
      <c r="A262" t="s">
        <v>306</v>
      </c>
      <c r="B262" t="s">
        <v>38</v>
      </c>
      <c r="C262">
        <v>41</v>
      </c>
      <c r="D262" t="s">
        <v>34</v>
      </c>
      <c r="E262">
        <v>3</v>
      </c>
      <c r="F262">
        <v>1</v>
      </c>
      <c r="G262">
        <v>100</v>
      </c>
      <c r="H262">
        <v>2</v>
      </c>
      <c r="I262" t="s">
        <v>39</v>
      </c>
      <c r="J262" t="s">
        <v>42</v>
      </c>
      <c r="K262">
        <v>270</v>
      </c>
    </row>
    <row r="263" spans="1:11" x14ac:dyDescent="0.4">
      <c r="A263" t="s">
        <v>307</v>
      </c>
      <c r="B263" t="s">
        <v>38</v>
      </c>
      <c r="C263">
        <v>43</v>
      </c>
      <c r="D263" t="s">
        <v>52</v>
      </c>
      <c r="E263">
        <v>6</v>
      </c>
      <c r="F263">
        <v>0.5</v>
      </c>
      <c r="G263">
        <v>20</v>
      </c>
      <c r="H263">
        <v>2</v>
      </c>
      <c r="I263" t="s">
        <v>35</v>
      </c>
      <c r="J263" t="s">
        <v>36</v>
      </c>
      <c r="K263">
        <v>180</v>
      </c>
    </row>
    <row r="264" spans="1:11" x14ac:dyDescent="0.4">
      <c r="A264" t="s">
        <v>308</v>
      </c>
      <c r="B264" t="s">
        <v>38</v>
      </c>
      <c r="C264">
        <v>35</v>
      </c>
      <c r="D264" t="s">
        <v>52</v>
      </c>
      <c r="E264">
        <v>6</v>
      </c>
      <c r="F264">
        <v>0.75</v>
      </c>
      <c r="G264">
        <v>200</v>
      </c>
      <c r="H264">
        <v>3</v>
      </c>
      <c r="I264" t="s">
        <v>39</v>
      </c>
      <c r="J264" t="s">
        <v>36</v>
      </c>
      <c r="K264">
        <v>450</v>
      </c>
    </row>
    <row r="265" spans="1:11" x14ac:dyDescent="0.4">
      <c r="A265" t="s">
        <v>309</v>
      </c>
      <c r="B265" t="s">
        <v>38</v>
      </c>
      <c r="C265">
        <v>19</v>
      </c>
      <c r="D265" t="s">
        <v>34</v>
      </c>
      <c r="E265">
        <v>6</v>
      </c>
      <c r="F265">
        <v>1</v>
      </c>
      <c r="G265">
        <v>30</v>
      </c>
      <c r="H265">
        <v>2</v>
      </c>
      <c r="I265" t="s">
        <v>41</v>
      </c>
      <c r="J265" t="s">
        <v>42</v>
      </c>
      <c r="K265">
        <v>360</v>
      </c>
    </row>
    <row r="266" spans="1:11" x14ac:dyDescent="0.4">
      <c r="A266" t="s">
        <v>310</v>
      </c>
      <c r="B266" t="s">
        <v>33</v>
      </c>
      <c r="C266">
        <v>54</v>
      </c>
      <c r="D266" t="s">
        <v>34</v>
      </c>
      <c r="E266">
        <v>1</v>
      </c>
      <c r="F266">
        <v>1</v>
      </c>
      <c r="G266">
        <v>100</v>
      </c>
      <c r="H266">
        <v>5</v>
      </c>
      <c r="I266" t="s">
        <v>41</v>
      </c>
      <c r="J266" t="s">
        <v>36</v>
      </c>
      <c r="K266">
        <v>126</v>
      </c>
    </row>
    <row r="267" spans="1:11" x14ac:dyDescent="0.4">
      <c r="A267" t="s">
        <v>311</v>
      </c>
      <c r="B267" t="s">
        <v>33</v>
      </c>
      <c r="C267">
        <v>62</v>
      </c>
      <c r="D267" t="s">
        <v>34</v>
      </c>
      <c r="E267">
        <v>6</v>
      </c>
      <c r="F267">
        <v>0.5</v>
      </c>
      <c r="G267">
        <v>20</v>
      </c>
      <c r="H267">
        <v>3</v>
      </c>
      <c r="I267" t="s">
        <v>35</v>
      </c>
      <c r="J267" t="s">
        <v>36</v>
      </c>
      <c r="K267">
        <v>50</v>
      </c>
    </row>
    <row r="268" spans="1:11" x14ac:dyDescent="0.4">
      <c r="A268" t="s">
        <v>312</v>
      </c>
      <c r="B268" t="s">
        <v>38</v>
      </c>
      <c r="C268">
        <v>43</v>
      </c>
      <c r="D268" t="s">
        <v>52</v>
      </c>
      <c r="E268">
        <v>5</v>
      </c>
      <c r="F268">
        <v>1</v>
      </c>
      <c r="G268">
        <v>50</v>
      </c>
      <c r="H268">
        <v>2</v>
      </c>
      <c r="I268" t="s">
        <v>35</v>
      </c>
      <c r="J268" t="s">
        <v>36</v>
      </c>
      <c r="K268">
        <v>270</v>
      </c>
    </row>
    <row r="269" spans="1:11" x14ac:dyDescent="0.4">
      <c r="A269" t="s">
        <v>313</v>
      </c>
      <c r="B269" t="s">
        <v>38</v>
      </c>
      <c r="C269">
        <v>40</v>
      </c>
      <c r="D269" t="s">
        <v>52</v>
      </c>
      <c r="E269">
        <v>4</v>
      </c>
      <c r="F269">
        <v>0.75</v>
      </c>
      <c r="G269">
        <v>50</v>
      </c>
      <c r="H269">
        <v>2</v>
      </c>
      <c r="I269" t="s">
        <v>41</v>
      </c>
      <c r="J269" t="s">
        <v>42</v>
      </c>
      <c r="K269">
        <v>200</v>
      </c>
    </row>
    <row r="270" spans="1:11" x14ac:dyDescent="0.4">
      <c r="A270" t="s">
        <v>314</v>
      </c>
      <c r="B270" t="s">
        <v>33</v>
      </c>
      <c r="C270">
        <v>63</v>
      </c>
      <c r="D270" t="s">
        <v>100</v>
      </c>
      <c r="E270">
        <v>1</v>
      </c>
      <c r="F270">
        <v>0.5</v>
      </c>
      <c r="G270">
        <v>20</v>
      </c>
      <c r="H270">
        <v>4</v>
      </c>
      <c r="I270" t="s">
        <v>35</v>
      </c>
      <c r="J270" t="s">
        <v>42</v>
      </c>
      <c r="K270">
        <v>90</v>
      </c>
    </row>
    <row r="271" spans="1:11" x14ac:dyDescent="0.4">
      <c r="A271" t="s">
        <v>315</v>
      </c>
      <c r="B271" t="s">
        <v>33</v>
      </c>
      <c r="C271">
        <v>31</v>
      </c>
      <c r="D271" t="s">
        <v>34</v>
      </c>
      <c r="E271">
        <v>6</v>
      </c>
      <c r="F271">
        <v>1</v>
      </c>
      <c r="G271">
        <v>20</v>
      </c>
      <c r="H271">
        <v>5</v>
      </c>
      <c r="I271" t="s">
        <v>39</v>
      </c>
      <c r="J271" t="s">
        <v>42</v>
      </c>
      <c r="K271">
        <v>360</v>
      </c>
    </row>
    <row r="272" spans="1:11" x14ac:dyDescent="0.4">
      <c r="A272" t="s">
        <v>316</v>
      </c>
      <c r="B272" t="s">
        <v>33</v>
      </c>
      <c r="C272">
        <v>39</v>
      </c>
      <c r="D272" t="s">
        <v>34</v>
      </c>
      <c r="E272">
        <v>3</v>
      </c>
      <c r="F272">
        <v>0.75</v>
      </c>
      <c r="G272">
        <v>50</v>
      </c>
      <c r="H272">
        <v>3</v>
      </c>
      <c r="I272" t="s">
        <v>39</v>
      </c>
      <c r="J272" t="s">
        <v>36</v>
      </c>
      <c r="K272">
        <v>270</v>
      </c>
    </row>
    <row r="273" spans="1:11" x14ac:dyDescent="0.4">
      <c r="A273" t="s">
        <v>317</v>
      </c>
      <c r="B273" t="s">
        <v>38</v>
      </c>
      <c r="C273">
        <v>65</v>
      </c>
      <c r="D273" t="s">
        <v>52</v>
      </c>
      <c r="E273">
        <v>3</v>
      </c>
      <c r="F273">
        <v>1.5</v>
      </c>
      <c r="G273">
        <v>50</v>
      </c>
      <c r="H273">
        <v>2</v>
      </c>
      <c r="I273" t="s">
        <v>35</v>
      </c>
      <c r="J273" t="s">
        <v>42</v>
      </c>
      <c r="K273">
        <v>50</v>
      </c>
    </row>
    <row r="274" spans="1:11" x14ac:dyDescent="0.4">
      <c r="A274" t="s">
        <v>318</v>
      </c>
      <c r="B274" t="s">
        <v>38</v>
      </c>
      <c r="C274">
        <v>54</v>
      </c>
      <c r="D274" t="s">
        <v>34</v>
      </c>
      <c r="E274">
        <v>4</v>
      </c>
      <c r="F274">
        <v>0.5</v>
      </c>
      <c r="G274">
        <v>150</v>
      </c>
      <c r="H274">
        <v>6</v>
      </c>
      <c r="I274" t="s">
        <v>35</v>
      </c>
      <c r="J274" t="s">
        <v>42</v>
      </c>
      <c r="K274">
        <v>180</v>
      </c>
    </row>
    <row r="275" spans="1:11" x14ac:dyDescent="0.4">
      <c r="A275" t="s">
        <v>319</v>
      </c>
      <c r="B275" t="s">
        <v>33</v>
      </c>
      <c r="C275">
        <v>42</v>
      </c>
      <c r="D275" t="s">
        <v>52</v>
      </c>
      <c r="E275">
        <v>2</v>
      </c>
      <c r="F275">
        <v>0.5</v>
      </c>
      <c r="G275">
        <v>30</v>
      </c>
      <c r="H275">
        <v>2</v>
      </c>
      <c r="I275" t="s">
        <v>50</v>
      </c>
      <c r="J275" t="s">
        <v>42</v>
      </c>
      <c r="K275">
        <v>270</v>
      </c>
    </row>
    <row r="276" spans="1:11" x14ac:dyDescent="0.4">
      <c r="A276" t="s">
        <v>320</v>
      </c>
      <c r="B276" t="s">
        <v>33</v>
      </c>
      <c r="C276">
        <v>62</v>
      </c>
      <c r="D276" t="s">
        <v>34</v>
      </c>
      <c r="E276">
        <v>3</v>
      </c>
      <c r="F276">
        <v>0.5</v>
      </c>
      <c r="G276">
        <v>25</v>
      </c>
      <c r="H276">
        <v>4</v>
      </c>
      <c r="I276" t="s">
        <v>35</v>
      </c>
      <c r="J276" t="s">
        <v>36</v>
      </c>
      <c r="K276">
        <v>60</v>
      </c>
    </row>
    <row r="277" spans="1:11" x14ac:dyDescent="0.4">
      <c r="A277" t="s">
        <v>321</v>
      </c>
      <c r="B277" t="s">
        <v>33</v>
      </c>
      <c r="C277">
        <v>24</v>
      </c>
      <c r="D277" t="s">
        <v>52</v>
      </c>
      <c r="E277">
        <v>1</v>
      </c>
      <c r="F277">
        <v>0.3</v>
      </c>
      <c r="G277">
        <v>20</v>
      </c>
      <c r="H277">
        <v>3</v>
      </c>
      <c r="I277" t="s">
        <v>35</v>
      </c>
      <c r="J277" t="s">
        <v>42</v>
      </c>
      <c r="K277">
        <v>400</v>
      </c>
    </row>
    <row r="278" spans="1:11" x14ac:dyDescent="0.4">
      <c r="A278" t="s">
        <v>322</v>
      </c>
      <c r="B278" t="s">
        <v>38</v>
      </c>
      <c r="C278">
        <v>54</v>
      </c>
      <c r="D278" t="s">
        <v>34</v>
      </c>
      <c r="E278">
        <v>4</v>
      </c>
      <c r="F278">
        <v>0.5</v>
      </c>
      <c r="G278">
        <v>350</v>
      </c>
      <c r="H278">
        <v>5</v>
      </c>
      <c r="I278" t="s">
        <v>41</v>
      </c>
      <c r="J278" t="s">
        <v>42</v>
      </c>
      <c r="K278">
        <v>180</v>
      </c>
    </row>
    <row r="279" spans="1:11" x14ac:dyDescent="0.4">
      <c r="A279" t="s">
        <v>323</v>
      </c>
      <c r="B279" t="s">
        <v>38</v>
      </c>
      <c r="C279">
        <v>50</v>
      </c>
      <c r="D279" t="s">
        <v>34</v>
      </c>
      <c r="E279">
        <v>4</v>
      </c>
      <c r="F279">
        <v>0.25</v>
      </c>
      <c r="G279">
        <v>40</v>
      </c>
      <c r="H279">
        <v>3</v>
      </c>
      <c r="I279" t="s">
        <v>35</v>
      </c>
      <c r="J279" t="s">
        <v>36</v>
      </c>
      <c r="K279">
        <v>135</v>
      </c>
    </row>
    <row r="280" spans="1:11" x14ac:dyDescent="0.4">
      <c r="A280" t="s">
        <v>324</v>
      </c>
      <c r="B280" t="s">
        <v>38</v>
      </c>
      <c r="C280">
        <v>41</v>
      </c>
      <c r="D280" t="s">
        <v>34</v>
      </c>
      <c r="E280">
        <v>5</v>
      </c>
      <c r="F280">
        <v>1</v>
      </c>
      <c r="G280">
        <v>20</v>
      </c>
      <c r="H280">
        <v>3</v>
      </c>
      <c r="I280" t="s">
        <v>39</v>
      </c>
      <c r="J280" t="s">
        <v>36</v>
      </c>
      <c r="K280">
        <v>180</v>
      </c>
    </row>
    <row r="281" spans="1:11" x14ac:dyDescent="0.4">
      <c r="A281" t="s">
        <v>325</v>
      </c>
      <c r="B281" t="s">
        <v>38</v>
      </c>
      <c r="C281">
        <v>42</v>
      </c>
      <c r="D281" t="s">
        <v>52</v>
      </c>
      <c r="E281">
        <v>6</v>
      </c>
      <c r="F281">
        <v>1</v>
      </c>
      <c r="G281">
        <v>25</v>
      </c>
      <c r="H281">
        <v>4</v>
      </c>
      <c r="I281" t="s">
        <v>41</v>
      </c>
      <c r="J281" t="s">
        <v>36</v>
      </c>
      <c r="K281">
        <v>270</v>
      </c>
    </row>
    <row r="282" spans="1:11" x14ac:dyDescent="0.4">
      <c r="A282" t="s">
        <v>326</v>
      </c>
      <c r="B282" t="s">
        <v>38</v>
      </c>
      <c r="C282">
        <v>29</v>
      </c>
      <c r="D282" t="s">
        <v>34</v>
      </c>
      <c r="E282">
        <v>5</v>
      </c>
      <c r="F282">
        <v>0.5</v>
      </c>
      <c r="G282">
        <v>70</v>
      </c>
      <c r="H282">
        <v>2</v>
      </c>
      <c r="I282" t="s">
        <v>35</v>
      </c>
      <c r="J282" t="s">
        <v>36</v>
      </c>
      <c r="K282">
        <v>360</v>
      </c>
    </row>
    <row r="283" spans="1:11" x14ac:dyDescent="0.4">
      <c r="A283" t="s">
        <v>327</v>
      </c>
      <c r="B283" t="s">
        <v>38</v>
      </c>
      <c r="C283">
        <v>54</v>
      </c>
      <c r="D283" t="s">
        <v>52</v>
      </c>
      <c r="E283">
        <v>5</v>
      </c>
      <c r="F283">
        <v>0.5</v>
      </c>
      <c r="G283">
        <v>150</v>
      </c>
      <c r="H283">
        <v>3</v>
      </c>
      <c r="I283" t="s">
        <v>39</v>
      </c>
      <c r="J283" t="s">
        <v>42</v>
      </c>
      <c r="K283">
        <v>160</v>
      </c>
    </row>
    <row r="284" spans="1:11" x14ac:dyDescent="0.4">
      <c r="A284" t="s">
        <v>328</v>
      </c>
      <c r="B284" t="s">
        <v>38</v>
      </c>
      <c r="C284">
        <v>59</v>
      </c>
      <c r="D284" t="s">
        <v>34</v>
      </c>
      <c r="E284">
        <v>5</v>
      </c>
      <c r="F284">
        <v>0.25</v>
      </c>
      <c r="G284">
        <v>75</v>
      </c>
      <c r="H284">
        <v>3</v>
      </c>
      <c r="I284" t="s">
        <v>39</v>
      </c>
      <c r="J284" t="s">
        <v>36</v>
      </c>
      <c r="K284">
        <v>100</v>
      </c>
    </row>
    <row r="285" spans="1:11" x14ac:dyDescent="0.4">
      <c r="A285" t="s">
        <v>329</v>
      </c>
      <c r="B285" t="s">
        <v>38</v>
      </c>
      <c r="C285">
        <v>42</v>
      </c>
      <c r="D285" t="s">
        <v>34</v>
      </c>
      <c r="E285">
        <v>5</v>
      </c>
      <c r="F285">
        <v>1</v>
      </c>
      <c r="G285">
        <v>20</v>
      </c>
      <c r="H285">
        <v>2</v>
      </c>
      <c r="I285" t="s">
        <v>35</v>
      </c>
      <c r="J285" t="s">
        <v>36</v>
      </c>
      <c r="K285">
        <v>180</v>
      </c>
    </row>
    <row r="286" spans="1:11" x14ac:dyDescent="0.4">
      <c r="A286" t="s">
        <v>330</v>
      </c>
      <c r="B286" t="s">
        <v>38</v>
      </c>
      <c r="C286">
        <v>43</v>
      </c>
      <c r="D286" t="s">
        <v>52</v>
      </c>
      <c r="E286">
        <v>6</v>
      </c>
      <c r="F286">
        <v>0.5</v>
      </c>
      <c r="G286">
        <v>180</v>
      </c>
      <c r="H286">
        <v>3</v>
      </c>
      <c r="I286" t="s">
        <v>35</v>
      </c>
      <c r="J286" t="s">
        <v>42</v>
      </c>
      <c r="K286">
        <v>360</v>
      </c>
    </row>
    <row r="287" spans="1:11" x14ac:dyDescent="0.4">
      <c r="A287" t="s">
        <v>331</v>
      </c>
      <c r="B287" t="s">
        <v>38</v>
      </c>
      <c r="C287">
        <v>59</v>
      </c>
      <c r="D287" t="s">
        <v>34</v>
      </c>
      <c r="E287">
        <v>5</v>
      </c>
      <c r="F287">
        <v>0.25</v>
      </c>
      <c r="G287">
        <v>75</v>
      </c>
      <c r="H287">
        <v>2</v>
      </c>
      <c r="I287" t="s">
        <v>39</v>
      </c>
      <c r="J287" t="s">
        <v>42</v>
      </c>
      <c r="K287">
        <v>50</v>
      </c>
    </row>
    <row r="288" spans="1:11" x14ac:dyDescent="0.4">
      <c r="A288" t="s">
        <v>332</v>
      </c>
      <c r="B288" t="s">
        <v>38</v>
      </c>
      <c r="C288">
        <v>44</v>
      </c>
      <c r="D288" t="s">
        <v>34</v>
      </c>
      <c r="E288">
        <v>3</v>
      </c>
      <c r="F288">
        <v>1</v>
      </c>
      <c r="G288">
        <v>25</v>
      </c>
      <c r="H288">
        <v>2</v>
      </c>
      <c r="I288" t="s">
        <v>35</v>
      </c>
      <c r="J288" t="s">
        <v>36</v>
      </c>
      <c r="K288">
        <v>270</v>
      </c>
    </row>
    <row r="289" spans="1:11" x14ac:dyDescent="0.4">
      <c r="A289" t="s">
        <v>333</v>
      </c>
      <c r="B289" t="s">
        <v>33</v>
      </c>
      <c r="C289">
        <v>62</v>
      </c>
      <c r="D289" t="s">
        <v>34</v>
      </c>
      <c r="E289">
        <v>6</v>
      </c>
      <c r="F289">
        <v>0.5</v>
      </c>
      <c r="G289">
        <v>20</v>
      </c>
      <c r="H289">
        <v>3</v>
      </c>
      <c r="I289" t="s">
        <v>35</v>
      </c>
      <c r="J289" t="s">
        <v>36</v>
      </c>
      <c r="K289">
        <v>90</v>
      </c>
    </row>
    <row r="290" spans="1:11" x14ac:dyDescent="0.4">
      <c r="A290" t="s">
        <v>334</v>
      </c>
      <c r="B290" t="s">
        <v>38</v>
      </c>
      <c r="C290">
        <v>60</v>
      </c>
      <c r="D290" t="s">
        <v>34</v>
      </c>
      <c r="E290">
        <v>3</v>
      </c>
      <c r="F290">
        <v>0.5</v>
      </c>
      <c r="G290">
        <v>20</v>
      </c>
      <c r="H290">
        <v>2</v>
      </c>
      <c r="I290" t="s">
        <v>39</v>
      </c>
      <c r="J290" t="s">
        <v>36</v>
      </c>
      <c r="K290">
        <v>90</v>
      </c>
    </row>
    <row r="291" spans="1:11" x14ac:dyDescent="0.4">
      <c r="A291" t="s">
        <v>335</v>
      </c>
      <c r="B291" t="s">
        <v>38</v>
      </c>
      <c r="C291">
        <v>20</v>
      </c>
      <c r="D291" t="s">
        <v>34</v>
      </c>
      <c r="E291">
        <v>6</v>
      </c>
      <c r="F291">
        <v>1</v>
      </c>
      <c r="G291">
        <v>20</v>
      </c>
      <c r="H291">
        <v>2</v>
      </c>
      <c r="I291" t="s">
        <v>35</v>
      </c>
      <c r="J291" t="s">
        <v>36</v>
      </c>
      <c r="K291">
        <v>360</v>
      </c>
    </row>
    <row r="292" spans="1:11" x14ac:dyDescent="0.4">
      <c r="A292" t="s">
        <v>336</v>
      </c>
      <c r="B292" t="s">
        <v>33</v>
      </c>
      <c r="C292">
        <v>59</v>
      </c>
      <c r="D292" t="s">
        <v>34</v>
      </c>
      <c r="E292">
        <v>2</v>
      </c>
      <c r="F292">
        <v>1</v>
      </c>
      <c r="G292">
        <v>50</v>
      </c>
      <c r="H292">
        <v>3</v>
      </c>
      <c r="I292" t="s">
        <v>35</v>
      </c>
      <c r="J292" t="s">
        <v>36</v>
      </c>
      <c r="K292">
        <v>80</v>
      </c>
    </row>
    <row r="293" spans="1:11" x14ac:dyDescent="0.4">
      <c r="A293" t="s">
        <v>337</v>
      </c>
      <c r="B293" t="s">
        <v>33</v>
      </c>
      <c r="C293">
        <v>59</v>
      </c>
      <c r="D293" t="s">
        <v>100</v>
      </c>
      <c r="E293">
        <v>1</v>
      </c>
      <c r="F293">
        <v>0.25</v>
      </c>
      <c r="G293">
        <v>120</v>
      </c>
      <c r="H293">
        <v>3</v>
      </c>
      <c r="I293" t="s">
        <v>35</v>
      </c>
      <c r="J293" t="s">
        <v>36</v>
      </c>
      <c r="K293">
        <v>100</v>
      </c>
    </row>
    <row r="294" spans="1:11" x14ac:dyDescent="0.4">
      <c r="A294" t="s">
        <v>338</v>
      </c>
      <c r="B294" t="s">
        <v>38</v>
      </c>
      <c r="C294">
        <v>42</v>
      </c>
      <c r="D294" t="s">
        <v>52</v>
      </c>
      <c r="E294">
        <v>6</v>
      </c>
      <c r="F294">
        <v>0.5</v>
      </c>
      <c r="G294">
        <v>70</v>
      </c>
      <c r="H294">
        <v>2</v>
      </c>
      <c r="I294" t="s">
        <v>35</v>
      </c>
      <c r="J294" t="s">
        <v>42</v>
      </c>
      <c r="K294">
        <v>270</v>
      </c>
    </row>
    <row r="295" spans="1:11" x14ac:dyDescent="0.4">
      <c r="A295" t="s">
        <v>339</v>
      </c>
      <c r="B295" t="s">
        <v>38</v>
      </c>
      <c r="C295">
        <v>32</v>
      </c>
      <c r="D295" t="s">
        <v>77</v>
      </c>
      <c r="E295">
        <v>6</v>
      </c>
      <c r="F295">
        <v>1</v>
      </c>
      <c r="G295">
        <v>25</v>
      </c>
      <c r="H295">
        <v>2</v>
      </c>
      <c r="I295" t="s">
        <v>35</v>
      </c>
      <c r="J295" t="s">
        <v>36</v>
      </c>
      <c r="K295">
        <v>360</v>
      </c>
    </row>
    <row r="296" spans="1:11" x14ac:dyDescent="0.4">
      <c r="A296" t="s">
        <v>340</v>
      </c>
      <c r="B296" t="s">
        <v>38</v>
      </c>
      <c r="C296">
        <v>26</v>
      </c>
      <c r="D296" t="s">
        <v>34</v>
      </c>
      <c r="E296">
        <v>4</v>
      </c>
      <c r="F296">
        <v>2</v>
      </c>
      <c r="G296">
        <v>50</v>
      </c>
      <c r="H296">
        <v>3</v>
      </c>
      <c r="I296" t="s">
        <v>41</v>
      </c>
      <c r="J296" t="s">
        <v>36</v>
      </c>
      <c r="K296">
        <v>540</v>
      </c>
    </row>
    <row r="297" spans="1:11" x14ac:dyDescent="0.4">
      <c r="A297" t="s">
        <v>341</v>
      </c>
      <c r="B297" t="s">
        <v>33</v>
      </c>
      <c r="C297">
        <v>42</v>
      </c>
      <c r="D297" t="s">
        <v>52</v>
      </c>
      <c r="E297">
        <v>2</v>
      </c>
      <c r="F297">
        <v>1</v>
      </c>
      <c r="G297">
        <v>100</v>
      </c>
      <c r="H297">
        <v>3</v>
      </c>
      <c r="I297" t="s">
        <v>35</v>
      </c>
      <c r="J297" t="s">
        <v>36</v>
      </c>
      <c r="K297">
        <v>330</v>
      </c>
    </row>
    <row r="298" spans="1:11" x14ac:dyDescent="0.4">
      <c r="A298" t="s">
        <v>342</v>
      </c>
      <c r="B298" t="s">
        <v>33</v>
      </c>
      <c r="C298">
        <v>25</v>
      </c>
      <c r="D298" t="s">
        <v>77</v>
      </c>
      <c r="E298">
        <v>6</v>
      </c>
      <c r="F298">
        <v>0.75</v>
      </c>
      <c r="G298">
        <v>25</v>
      </c>
      <c r="H298">
        <v>6</v>
      </c>
      <c r="I298" t="s">
        <v>98</v>
      </c>
      <c r="J298" t="s">
        <v>42</v>
      </c>
      <c r="K298">
        <v>540</v>
      </c>
    </row>
    <row r="299" spans="1:11" x14ac:dyDescent="0.4">
      <c r="A299" t="s">
        <v>343</v>
      </c>
      <c r="B299" t="s">
        <v>33</v>
      </c>
      <c r="C299">
        <v>22</v>
      </c>
      <c r="D299" t="s">
        <v>34</v>
      </c>
      <c r="E299">
        <v>1</v>
      </c>
      <c r="F299">
        <v>3</v>
      </c>
      <c r="G299">
        <v>100</v>
      </c>
      <c r="H299">
        <v>2</v>
      </c>
      <c r="I299" t="s">
        <v>35</v>
      </c>
      <c r="J299" t="s">
        <v>36</v>
      </c>
      <c r="K299">
        <v>540</v>
      </c>
    </row>
    <row r="300" spans="1:11" x14ac:dyDescent="0.4">
      <c r="A300" t="s">
        <v>344</v>
      </c>
      <c r="B300" t="s">
        <v>38</v>
      </c>
      <c r="C300">
        <v>43</v>
      </c>
      <c r="D300" t="s">
        <v>34</v>
      </c>
      <c r="E300">
        <v>3</v>
      </c>
      <c r="F300">
        <v>0.5</v>
      </c>
      <c r="G300">
        <v>25</v>
      </c>
      <c r="H300">
        <v>4</v>
      </c>
      <c r="I300" t="s">
        <v>35</v>
      </c>
      <c r="J300" t="s">
        <v>36</v>
      </c>
      <c r="K300">
        <v>200</v>
      </c>
    </row>
    <row r="301" spans="1:11" x14ac:dyDescent="0.4">
      <c r="A301" t="s">
        <v>345</v>
      </c>
      <c r="B301" t="s">
        <v>38</v>
      </c>
      <c r="C301">
        <v>47</v>
      </c>
      <c r="D301" t="s">
        <v>45</v>
      </c>
      <c r="E301">
        <v>6</v>
      </c>
      <c r="F301">
        <v>0.5</v>
      </c>
      <c r="G301">
        <v>40</v>
      </c>
      <c r="H301">
        <v>2</v>
      </c>
      <c r="I301" t="s">
        <v>35</v>
      </c>
      <c r="J301" t="s">
        <v>36</v>
      </c>
      <c r="K301">
        <v>180</v>
      </c>
    </row>
  </sheetData>
  <conditionalFormatting sqref="A1:A301">
    <cfRule type="duplicateValues" dxfId="1" priority="1"/>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36E20-B77C-4553-922B-545542BD4EE7}">
  <dimension ref="A1:B133"/>
  <sheetViews>
    <sheetView topLeftCell="A22" workbookViewId="0">
      <selection activeCell="B118" sqref="B118"/>
    </sheetView>
  </sheetViews>
  <sheetFormatPr defaultColWidth="8.83203125" defaultRowHeight="16" x14ac:dyDescent="0.4"/>
  <cols>
    <col min="1" max="1" width="15.58203125" customWidth="1"/>
    <col min="2" max="2" width="13.58203125" customWidth="1"/>
  </cols>
  <sheetData>
    <row r="1" spans="1:2" x14ac:dyDescent="0.4">
      <c r="A1" s="3" t="s">
        <v>12</v>
      </c>
      <c r="B1" s="3"/>
    </row>
    <row r="3" spans="1:2" x14ac:dyDescent="0.4">
      <c r="A3" t="s">
        <v>468</v>
      </c>
      <c r="B3">
        <v>45.216666666666669</v>
      </c>
    </row>
    <row r="4" spans="1:2" x14ac:dyDescent="0.4">
      <c r="A4" t="s">
        <v>469</v>
      </c>
      <c r="B4">
        <v>0.77845082892300266</v>
      </c>
    </row>
    <row r="5" spans="1:2" x14ac:dyDescent="0.4">
      <c r="A5" t="s">
        <v>470</v>
      </c>
      <c r="B5">
        <v>44</v>
      </c>
    </row>
    <row r="6" spans="1:2" x14ac:dyDescent="0.4">
      <c r="A6" t="s">
        <v>471</v>
      </c>
      <c r="B6">
        <v>42</v>
      </c>
    </row>
    <row r="7" spans="1:2" x14ac:dyDescent="0.4">
      <c r="A7" t="s">
        <v>472</v>
      </c>
      <c r="B7">
        <v>13.483163868887488</v>
      </c>
    </row>
    <row r="8" spans="1:2" x14ac:dyDescent="0.4">
      <c r="A8" t="s">
        <v>473</v>
      </c>
      <c r="B8">
        <v>181.795707915273</v>
      </c>
    </row>
    <row r="9" spans="1:2" x14ac:dyDescent="0.4">
      <c r="A9" t="s">
        <v>474</v>
      </c>
      <c r="B9">
        <v>-0.47672611690364297</v>
      </c>
    </row>
    <row r="10" spans="1:2" x14ac:dyDescent="0.4">
      <c r="A10" t="s">
        <v>475</v>
      </c>
      <c r="B10">
        <v>3.1883797509820663E-2</v>
      </c>
    </row>
    <row r="11" spans="1:2" x14ac:dyDescent="0.4">
      <c r="A11" t="s">
        <v>476</v>
      </c>
      <c r="B11">
        <v>60</v>
      </c>
    </row>
    <row r="12" spans="1:2" x14ac:dyDescent="0.4">
      <c r="A12" t="s">
        <v>477</v>
      </c>
      <c r="B12">
        <v>18</v>
      </c>
    </row>
    <row r="13" spans="1:2" x14ac:dyDescent="0.4">
      <c r="A13" t="s">
        <v>478</v>
      </c>
      <c r="B13">
        <v>78</v>
      </c>
    </row>
    <row r="14" spans="1:2" x14ac:dyDescent="0.4">
      <c r="A14" t="s">
        <v>479</v>
      </c>
      <c r="B14">
        <v>13565</v>
      </c>
    </row>
    <row r="15" spans="1:2" ht="16.5" thickBot="1" x14ac:dyDescent="0.45">
      <c r="A15" s="2" t="s">
        <v>480</v>
      </c>
      <c r="B15" s="2">
        <v>300</v>
      </c>
    </row>
    <row r="18" spans="1:2" ht="16.5" thickBot="1" x14ac:dyDescent="0.45"/>
    <row r="19" spans="1:2" x14ac:dyDescent="0.4">
      <c r="A19" s="3" t="s">
        <v>17</v>
      </c>
      <c r="B19" s="3"/>
    </row>
    <row r="21" spans="1:2" x14ac:dyDescent="0.4">
      <c r="A21" t="s">
        <v>468</v>
      </c>
      <c r="B21">
        <v>4.3366666666666669</v>
      </c>
    </row>
    <row r="22" spans="1:2" x14ac:dyDescent="0.4">
      <c r="A22" t="s">
        <v>469</v>
      </c>
      <c r="B22">
        <v>9.8991383174356157E-2</v>
      </c>
    </row>
    <row r="23" spans="1:2" x14ac:dyDescent="0.4">
      <c r="A23" t="s">
        <v>470</v>
      </c>
      <c r="B23">
        <v>4</v>
      </c>
    </row>
    <row r="24" spans="1:2" x14ac:dyDescent="0.4">
      <c r="A24" t="s">
        <v>471</v>
      </c>
      <c r="B24">
        <v>5</v>
      </c>
    </row>
    <row r="25" spans="1:2" x14ac:dyDescent="0.4">
      <c r="A25" t="s">
        <v>472</v>
      </c>
      <c r="B25">
        <v>1.7145810516950377</v>
      </c>
    </row>
    <row r="26" spans="1:2" x14ac:dyDescent="0.4">
      <c r="A26" t="s">
        <v>473</v>
      </c>
      <c r="B26">
        <v>2.9397881828316619</v>
      </c>
    </row>
    <row r="27" spans="1:2" x14ac:dyDescent="0.4">
      <c r="A27" t="s">
        <v>474</v>
      </c>
      <c r="B27">
        <v>-0.37728842413898089</v>
      </c>
    </row>
    <row r="28" spans="1:2" x14ac:dyDescent="0.4">
      <c r="A28" t="s">
        <v>475</v>
      </c>
      <c r="B28">
        <v>1.1866949081549597E-2</v>
      </c>
    </row>
    <row r="29" spans="1:2" x14ac:dyDescent="0.4">
      <c r="A29" t="s">
        <v>476</v>
      </c>
      <c r="B29">
        <v>8</v>
      </c>
    </row>
    <row r="30" spans="1:2" x14ac:dyDescent="0.4">
      <c r="A30" t="s">
        <v>477</v>
      </c>
      <c r="B30">
        <v>1</v>
      </c>
    </row>
    <row r="31" spans="1:2" x14ac:dyDescent="0.4">
      <c r="A31" t="s">
        <v>478</v>
      </c>
      <c r="B31">
        <v>9</v>
      </c>
    </row>
    <row r="32" spans="1:2" x14ac:dyDescent="0.4">
      <c r="A32" t="s">
        <v>479</v>
      </c>
      <c r="B32">
        <v>1301</v>
      </c>
    </row>
    <row r="33" spans="1:2" ht="16.5" thickBot="1" x14ac:dyDescent="0.45">
      <c r="A33" s="2" t="s">
        <v>480</v>
      </c>
      <c r="B33" s="2">
        <v>300</v>
      </c>
    </row>
    <row r="35" spans="1:2" ht="16.5" thickBot="1" x14ac:dyDescent="0.45"/>
    <row r="36" spans="1:2" x14ac:dyDescent="0.4">
      <c r="A36" s="3" t="s">
        <v>19</v>
      </c>
      <c r="B36" s="3"/>
    </row>
    <row r="38" spans="1:2" x14ac:dyDescent="0.4">
      <c r="A38" t="s">
        <v>468</v>
      </c>
      <c r="B38">
        <v>0.79866666666666697</v>
      </c>
    </row>
    <row r="39" spans="1:2" x14ac:dyDescent="0.4">
      <c r="A39" t="s">
        <v>469</v>
      </c>
      <c r="B39">
        <v>3.1413995181668222E-2</v>
      </c>
    </row>
    <row r="40" spans="1:2" x14ac:dyDescent="0.4">
      <c r="A40" t="s">
        <v>470</v>
      </c>
      <c r="B40">
        <v>0.5</v>
      </c>
    </row>
    <row r="41" spans="1:2" x14ac:dyDescent="0.4">
      <c r="A41" t="s">
        <v>471</v>
      </c>
      <c r="B41">
        <v>0.5</v>
      </c>
    </row>
    <row r="42" spans="1:2" x14ac:dyDescent="0.4">
      <c r="A42" t="s">
        <v>472</v>
      </c>
      <c r="B42">
        <v>0.54410635723373268</v>
      </c>
    </row>
    <row r="43" spans="1:2" x14ac:dyDescent="0.4">
      <c r="A43" t="s">
        <v>473</v>
      </c>
      <c r="B43">
        <v>0.29605172798216228</v>
      </c>
    </row>
    <row r="44" spans="1:2" x14ac:dyDescent="0.4">
      <c r="A44" t="s">
        <v>474</v>
      </c>
      <c r="B44">
        <v>3.3425195335360125</v>
      </c>
    </row>
    <row r="45" spans="1:2" x14ac:dyDescent="0.4">
      <c r="A45" t="s">
        <v>475</v>
      </c>
      <c r="B45">
        <v>1.7024586621978191</v>
      </c>
    </row>
    <row r="46" spans="1:2" x14ac:dyDescent="0.4">
      <c r="A46" t="s">
        <v>476</v>
      </c>
      <c r="B46">
        <v>2.75</v>
      </c>
    </row>
    <row r="47" spans="1:2" x14ac:dyDescent="0.4">
      <c r="A47" t="s">
        <v>477</v>
      </c>
      <c r="B47">
        <v>0.25</v>
      </c>
    </row>
    <row r="48" spans="1:2" x14ac:dyDescent="0.4">
      <c r="A48" t="s">
        <v>478</v>
      </c>
      <c r="B48">
        <v>3</v>
      </c>
    </row>
    <row r="49" spans="1:2" x14ac:dyDescent="0.4">
      <c r="A49" t="s">
        <v>479</v>
      </c>
      <c r="B49">
        <v>239.60000000000008</v>
      </c>
    </row>
    <row r="50" spans="1:2" ht="16.5" thickBot="1" x14ac:dyDescent="0.45">
      <c r="A50" s="2" t="s">
        <v>480</v>
      </c>
      <c r="B50" s="2">
        <v>300</v>
      </c>
    </row>
    <row r="53" spans="1:2" ht="16.5" thickBot="1" x14ac:dyDescent="0.45"/>
    <row r="54" spans="1:2" x14ac:dyDescent="0.4">
      <c r="A54" s="3" t="s">
        <v>21</v>
      </c>
      <c r="B54" s="3"/>
    </row>
    <row r="56" spans="1:2" x14ac:dyDescent="0.4">
      <c r="A56" t="s">
        <v>468</v>
      </c>
      <c r="B56">
        <v>63.78</v>
      </c>
    </row>
    <row r="57" spans="1:2" x14ac:dyDescent="0.4">
      <c r="A57" t="s">
        <v>469</v>
      </c>
      <c r="B57">
        <v>3.540448673769216</v>
      </c>
    </row>
    <row r="58" spans="1:2" x14ac:dyDescent="0.4">
      <c r="A58" t="s">
        <v>470</v>
      </c>
      <c r="B58">
        <v>50</v>
      </c>
    </row>
    <row r="59" spans="1:2" x14ac:dyDescent="0.4">
      <c r="A59" t="s">
        <v>471</v>
      </c>
      <c r="B59">
        <v>50</v>
      </c>
    </row>
    <row r="60" spans="1:2" x14ac:dyDescent="0.4">
      <c r="A60" t="s">
        <v>472</v>
      </c>
      <c r="B60">
        <v>61.322369845581321</v>
      </c>
    </row>
    <row r="61" spans="1:2" x14ac:dyDescent="0.4">
      <c r="A61" t="s">
        <v>473</v>
      </c>
      <c r="B61">
        <v>3760.433043478261</v>
      </c>
    </row>
    <row r="62" spans="1:2" x14ac:dyDescent="0.4">
      <c r="A62" t="s">
        <v>474</v>
      </c>
      <c r="B62">
        <v>11.170870320408342</v>
      </c>
    </row>
    <row r="63" spans="1:2" x14ac:dyDescent="0.4">
      <c r="A63" t="s">
        <v>475</v>
      </c>
      <c r="B63">
        <v>2.8870760604362555</v>
      </c>
    </row>
    <row r="64" spans="1:2" x14ac:dyDescent="0.4">
      <c r="A64" t="s">
        <v>476</v>
      </c>
      <c r="B64">
        <v>460</v>
      </c>
    </row>
    <row r="65" spans="1:2" x14ac:dyDescent="0.4">
      <c r="A65" t="s">
        <v>477</v>
      </c>
      <c r="B65">
        <v>20</v>
      </c>
    </row>
    <row r="66" spans="1:2" x14ac:dyDescent="0.4">
      <c r="A66" t="s">
        <v>478</v>
      </c>
      <c r="B66">
        <v>480</v>
      </c>
    </row>
    <row r="67" spans="1:2" x14ac:dyDescent="0.4">
      <c r="A67" t="s">
        <v>479</v>
      </c>
      <c r="B67">
        <v>19134</v>
      </c>
    </row>
    <row r="68" spans="1:2" ht="16.5" thickBot="1" x14ac:dyDescent="0.45">
      <c r="A68" s="2" t="s">
        <v>480</v>
      </c>
      <c r="B68" s="2">
        <v>300</v>
      </c>
    </row>
    <row r="71" spans="1:2" x14ac:dyDescent="0.4">
      <c r="A71" s="4" t="s">
        <v>481</v>
      </c>
      <c r="B71" t="s">
        <v>482</v>
      </c>
    </row>
    <row r="72" spans="1:2" x14ac:dyDescent="0.4">
      <c r="A72" s="5" t="s">
        <v>36</v>
      </c>
      <c r="B72">
        <v>216</v>
      </c>
    </row>
    <row r="73" spans="1:2" x14ac:dyDescent="0.4">
      <c r="A73" s="5" t="s">
        <v>42</v>
      </c>
      <c r="B73">
        <v>84</v>
      </c>
    </row>
    <row r="74" spans="1:2" x14ac:dyDescent="0.4">
      <c r="A74" s="5" t="s">
        <v>483</v>
      </c>
    </row>
    <row r="75" spans="1:2" x14ac:dyDescent="0.4">
      <c r="A75" s="5" t="s">
        <v>484</v>
      </c>
      <c r="B75">
        <v>300</v>
      </c>
    </row>
    <row r="82" spans="1:2" x14ac:dyDescent="0.4">
      <c r="A82" s="4" t="s">
        <v>481</v>
      </c>
      <c r="B82" t="s">
        <v>485</v>
      </c>
    </row>
    <row r="83" spans="1:2" x14ac:dyDescent="0.4">
      <c r="A83" s="5" t="s">
        <v>45</v>
      </c>
      <c r="B83">
        <v>13</v>
      </c>
    </row>
    <row r="84" spans="1:2" x14ac:dyDescent="0.4">
      <c r="A84" s="5" t="s">
        <v>77</v>
      </c>
      <c r="B84">
        <v>5</v>
      </c>
    </row>
    <row r="85" spans="1:2" x14ac:dyDescent="0.4">
      <c r="A85" s="5" t="s">
        <v>100</v>
      </c>
      <c r="B85">
        <v>7</v>
      </c>
    </row>
    <row r="86" spans="1:2" x14ac:dyDescent="0.4">
      <c r="A86" s="5" t="s">
        <v>34</v>
      </c>
      <c r="B86">
        <v>177</v>
      </c>
    </row>
    <row r="87" spans="1:2" x14ac:dyDescent="0.4">
      <c r="A87" s="5" t="s">
        <v>52</v>
      </c>
      <c r="B87">
        <v>98</v>
      </c>
    </row>
    <row r="88" spans="1:2" x14ac:dyDescent="0.4">
      <c r="A88" s="5" t="s">
        <v>483</v>
      </c>
    </row>
    <row r="89" spans="1:2" x14ac:dyDescent="0.4">
      <c r="A89" s="5" t="s">
        <v>484</v>
      </c>
      <c r="B89">
        <v>300</v>
      </c>
    </row>
    <row r="97" spans="1:2" x14ac:dyDescent="0.4">
      <c r="A97" s="4" t="s">
        <v>481</v>
      </c>
      <c r="B97" t="s">
        <v>486</v>
      </c>
    </row>
    <row r="98" spans="1:2" x14ac:dyDescent="0.4">
      <c r="A98" s="5" t="s">
        <v>38</v>
      </c>
      <c r="B98">
        <v>209</v>
      </c>
    </row>
    <row r="99" spans="1:2" x14ac:dyDescent="0.4">
      <c r="A99" s="5" t="s">
        <v>33</v>
      </c>
      <c r="B99">
        <v>91</v>
      </c>
    </row>
    <row r="100" spans="1:2" x14ac:dyDescent="0.4">
      <c r="A100" s="5" t="s">
        <v>483</v>
      </c>
    </row>
    <row r="101" spans="1:2" x14ac:dyDescent="0.4">
      <c r="A101" s="5" t="s">
        <v>484</v>
      </c>
      <c r="B101">
        <v>300</v>
      </c>
    </row>
    <row r="106" spans="1:2" x14ac:dyDescent="0.4">
      <c r="A106" s="4" t="s">
        <v>481</v>
      </c>
      <c r="B106" t="s">
        <v>487</v>
      </c>
    </row>
    <row r="107" spans="1:2" x14ac:dyDescent="0.4">
      <c r="A107" s="5" t="s">
        <v>41</v>
      </c>
      <c r="B107">
        <v>75</v>
      </c>
    </row>
    <row r="108" spans="1:2" x14ac:dyDescent="0.4">
      <c r="A108" s="5" t="s">
        <v>50</v>
      </c>
      <c r="B108">
        <v>11</v>
      </c>
    </row>
    <row r="109" spans="1:2" x14ac:dyDescent="0.4">
      <c r="A109" s="5" t="s">
        <v>39</v>
      </c>
      <c r="B109">
        <v>72</v>
      </c>
    </row>
    <row r="110" spans="1:2" x14ac:dyDescent="0.4">
      <c r="A110" s="5" t="s">
        <v>35</v>
      </c>
      <c r="B110">
        <v>134</v>
      </c>
    </row>
    <row r="111" spans="1:2" x14ac:dyDescent="0.4">
      <c r="A111" s="5" t="s">
        <v>98</v>
      </c>
      <c r="B111">
        <v>8</v>
      </c>
    </row>
    <row r="112" spans="1:2" x14ac:dyDescent="0.4">
      <c r="A112" s="5" t="s">
        <v>483</v>
      </c>
    </row>
    <row r="113" spans="1:2" x14ac:dyDescent="0.4">
      <c r="A113" s="5" t="s">
        <v>484</v>
      </c>
      <c r="B113">
        <v>300</v>
      </c>
    </row>
    <row r="120" spans="1:2" x14ac:dyDescent="0.4">
      <c r="A120" t="s">
        <v>488</v>
      </c>
    </row>
    <row r="121" spans="1:2" x14ac:dyDescent="0.4">
      <c r="A121" t="s">
        <v>489</v>
      </c>
      <c r="B121">
        <v>230.69</v>
      </c>
    </row>
    <row r="122" spans="1:2" x14ac:dyDescent="0.4">
      <c r="A122" t="s">
        <v>490</v>
      </c>
      <c r="B122">
        <v>7.93</v>
      </c>
    </row>
    <row r="123" spans="1:2" x14ac:dyDescent="0.4">
      <c r="A123" t="s">
        <v>491</v>
      </c>
      <c r="B123">
        <v>180</v>
      </c>
    </row>
    <row r="124" spans="1:2" x14ac:dyDescent="0.4">
      <c r="A124" t="s">
        <v>492</v>
      </c>
      <c r="B124">
        <v>180</v>
      </c>
    </row>
    <row r="125" spans="1:2" x14ac:dyDescent="0.4">
      <c r="A125" t="s">
        <v>493</v>
      </c>
      <c r="B125">
        <v>137.32</v>
      </c>
    </row>
    <row r="126" spans="1:2" x14ac:dyDescent="0.4">
      <c r="A126" t="s">
        <v>494</v>
      </c>
      <c r="B126">
        <v>18857.61</v>
      </c>
    </row>
    <row r="127" spans="1:2" x14ac:dyDescent="0.4">
      <c r="A127" t="s">
        <v>495</v>
      </c>
      <c r="B127">
        <v>-0.45</v>
      </c>
    </row>
    <row r="128" spans="1:2" x14ac:dyDescent="0.4">
      <c r="A128" t="s">
        <v>496</v>
      </c>
      <c r="B128">
        <v>0.69</v>
      </c>
    </row>
    <row r="129" spans="1:2" x14ac:dyDescent="0.4">
      <c r="A129" t="s">
        <v>497</v>
      </c>
      <c r="B129">
        <v>510</v>
      </c>
    </row>
    <row r="130" spans="1:2" x14ac:dyDescent="0.4">
      <c r="A130" t="s">
        <v>498</v>
      </c>
      <c r="B130">
        <v>50</v>
      </c>
    </row>
    <row r="131" spans="1:2" x14ac:dyDescent="0.4">
      <c r="A131" t="s">
        <v>499</v>
      </c>
      <c r="B131">
        <v>560</v>
      </c>
    </row>
    <row r="132" spans="1:2" x14ac:dyDescent="0.4">
      <c r="A132" t="s">
        <v>500</v>
      </c>
      <c r="B132">
        <v>69206</v>
      </c>
    </row>
    <row r="133" spans="1:2" x14ac:dyDescent="0.4">
      <c r="A133" t="s">
        <v>501</v>
      </c>
      <c r="B133">
        <v>300</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C5A4B-DF8B-4C3E-880E-A0FBDDD1C7E2}">
  <dimension ref="A1:N88"/>
  <sheetViews>
    <sheetView tabSelected="1" topLeftCell="A8" workbookViewId="0">
      <selection activeCell="F24" sqref="F24"/>
    </sheetView>
  </sheetViews>
  <sheetFormatPr defaultColWidth="8.83203125" defaultRowHeight="16" x14ac:dyDescent="0.4"/>
  <cols>
    <col min="1" max="1" width="17.08203125" customWidth="1"/>
    <col min="2" max="2" width="9.33203125" customWidth="1"/>
    <col min="3" max="3" width="15.08203125" customWidth="1"/>
    <col min="8" max="8" width="18.08203125" customWidth="1"/>
  </cols>
  <sheetData>
    <row r="1" spans="1:14" x14ac:dyDescent="0.4">
      <c r="A1" t="s">
        <v>502</v>
      </c>
    </row>
    <row r="2" spans="1:14" x14ac:dyDescent="0.4">
      <c r="A2" s="1" t="s">
        <v>41</v>
      </c>
      <c r="B2" s="1" t="s">
        <v>50</v>
      </c>
      <c r="C2" s="1" t="s">
        <v>39</v>
      </c>
      <c r="D2" s="1" t="s">
        <v>35</v>
      </c>
      <c r="E2" s="1" t="s">
        <v>98</v>
      </c>
      <c r="H2" t="s">
        <v>503</v>
      </c>
    </row>
    <row r="3" spans="1:14" x14ac:dyDescent="0.4">
      <c r="A3">
        <v>5</v>
      </c>
      <c r="B3">
        <v>6</v>
      </c>
      <c r="C3">
        <v>5</v>
      </c>
      <c r="D3">
        <v>3</v>
      </c>
      <c r="E3">
        <v>4</v>
      </c>
    </row>
    <row r="4" spans="1:14" ht="16.5" thickBot="1" x14ac:dyDescent="0.45">
      <c r="A4">
        <v>5</v>
      </c>
      <c r="B4">
        <v>5</v>
      </c>
      <c r="C4">
        <v>4</v>
      </c>
      <c r="D4">
        <v>6</v>
      </c>
      <c r="E4">
        <v>9</v>
      </c>
      <c r="H4" t="s">
        <v>504</v>
      </c>
    </row>
    <row r="5" spans="1:14" x14ac:dyDescent="0.4">
      <c r="A5">
        <v>4</v>
      </c>
      <c r="B5">
        <v>3</v>
      </c>
      <c r="C5">
        <v>4</v>
      </c>
      <c r="D5">
        <v>6</v>
      </c>
      <c r="E5">
        <v>9</v>
      </c>
      <c r="H5" s="10" t="s">
        <v>505</v>
      </c>
      <c r="I5" s="10" t="s">
        <v>480</v>
      </c>
      <c r="J5" s="10" t="s">
        <v>479</v>
      </c>
      <c r="K5" s="10" t="s">
        <v>506</v>
      </c>
      <c r="L5" s="10" t="s">
        <v>507</v>
      </c>
    </row>
    <row r="6" spans="1:14" x14ac:dyDescent="0.4">
      <c r="A6">
        <v>8</v>
      </c>
      <c r="B6">
        <v>2</v>
      </c>
      <c r="C6" t="s">
        <v>520</v>
      </c>
      <c r="D6">
        <v>5</v>
      </c>
      <c r="E6">
        <v>6</v>
      </c>
      <c r="H6" t="s">
        <v>41</v>
      </c>
      <c r="I6">
        <v>75</v>
      </c>
      <c r="J6">
        <v>339</v>
      </c>
      <c r="K6">
        <v>4.5199999999999996</v>
      </c>
      <c r="L6">
        <v>2.9016216216216222</v>
      </c>
    </row>
    <row r="7" spans="1:14" x14ac:dyDescent="0.4">
      <c r="A7">
        <v>4</v>
      </c>
      <c r="B7">
        <v>6</v>
      </c>
      <c r="C7">
        <v>3</v>
      </c>
      <c r="D7">
        <v>3</v>
      </c>
      <c r="E7">
        <v>5</v>
      </c>
      <c r="H7" t="s">
        <v>50</v>
      </c>
      <c r="I7">
        <v>11</v>
      </c>
      <c r="J7">
        <v>44</v>
      </c>
      <c r="K7">
        <v>4</v>
      </c>
      <c r="L7">
        <v>2.6</v>
      </c>
    </row>
    <row r="8" spans="1:14" x14ac:dyDescent="0.4">
      <c r="A8">
        <v>6</v>
      </c>
      <c r="B8">
        <v>3</v>
      </c>
      <c r="C8">
        <v>5</v>
      </c>
      <c r="D8">
        <v>3</v>
      </c>
      <c r="E8">
        <v>2</v>
      </c>
      <c r="H8" t="s">
        <v>39</v>
      </c>
      <c r="I8">
        <v>72</v>
      </c>
      <c r="J8">
        <v>312</v>
      </c>
      <c r="K8">
        <v>4.333333333333333</v>
      </c>
      <c r="L8">
        <v>2.056338028169014</v>
      </c>
    </row>
    <row r="9" spans="1:14" x14ac:dyDescent="0.4">
      <c r="A9">
        <v>3</v>
      </c>
      <c r="B9">
        <v>6</v>
      </c>
      <c r="C9">
        <v>4</v>
      </c>
      <c r="D9">
        <v>4</v>
      </c>
      <c r="E9">
        <v>3</v>
      </c>
      <c r="H9" t="s">
        <v>35</v>
      </c>
      <c r="I9">
        <v>86</v>
      </c>
      <c r="J9">
        <v>370</v>
      </c>
      <c r="K9">
        <v>4.3023255813953485</v>
      </c>
      <c r="L9">
        <v>3.0134062927496577</v>
      </c>
    </row>
    <row r="10" spans="1:14" ht="16.5" thickBot="1" x14ac:dyDescent="0.45">
      <c r="A10">
        <v>5</v>
      </c>
      <c r="B10">
        <v>3</v>
      </c>
      <c r="C10">
        <v>3</v>
      </c>
      <c r="D10">
        <v>3</v>
      </c>
      <c r="E10">
        <v>6</v>
      </c>
      <c r="H10" s="2" t="s">
        <v>98</v>
      </c>
      <c r="I10" s="2">
        <v>8</v>
      </c>
      <c r="J10" s="2">
        <v>44</v>
      </c>
      <c r="K10" s="2">
        <v>5.5</v>
      </c>
      <c r="L10" s="2">
        <v>6.5714285714285712</v>
      </c>
    </row>
    <row r="11" spans="1:14" x14ac:dyDescent="0.4">
      <c r="A11">
        <v>4</v>
      </c>
      <c r="B11">
        <v>5</v>
      </c>
      <c r="C11">
        <v>5</v>
      </c>
      <c r="D11">
        <v>3</v>
      </c>
    </row>
    <row r="12" spans="1:14" x14ac:dyDescent="0.4">
      <c r="A12">
        <v>6</v>
      </c>
      <c r="B12">
        <v>3</v>
      </c>
      <c r="C12">
        <v>5</v>
      </c>
      <c r="D12">
        <v>3</v>
      </c>
    </row>
    <row r="13" spans="1:14" ht="16.5" thickBot="1" x14ac:dyDescent="0.45">
      <c r="A13">
        <v>6</v>
      </c>
      <c r="B13">
        <v>2</v>
      </c>
      <c r="C13">
        <v>6</v>
      </c>
      <c r="D13">
        <v>2</v>
      </c>
      <c r="H13" t="s">
        <v>508</v>
      </c>
    </row>
    <row r="14" spans="1:14" x14ac:dyDescent="0.4">
      <c r="A14">
        <v>2</v>
      </c>
      <c r="C14">
        <v>3</v>
      </c>
      <c r="D14">
        <v>3</v>
      </c>
      <c r="H14" s="10" t="s">
        <v>509</v>
      </c>
      <c r="I14" s="10" t="s">
        <v>510</v>
      </c>
      <c r="J14" s="10" t="s">
        <v>511</v>
      </c>
      <c r="K14" s="10" t="s">
        <v>512</v>
      </c>
      <c r="L14" s="10" t="s">
        <v>513</v>
      </c>
      <c r="M14" s="10" t="s">
        <v>514</v>
      </c>
      <c r="N14" s="10" t="s">
        <v>515</v>
      </c>
    </row>
    <row r="15" spans="1:14" x14ac:dyDescent="0.4">
      <c r="A15">
        <v>4</v>
      </c>
      <c r="C15">
        <v>5</v>
      </c>
      <c r="D15">
        <v>3</v>
      </c>
      <c r="H15" t="s">
        <v>516</v>
      </c>
      <c r="I15">
        <v>13.660306386121533</v>
      </c>
      <c r="J15">
        <v>4</v>
      </c>
      <c r="K15">
        <v>3.4150765965303833</v>
      </c>
      <c r="L15">
        <v>1.2245223831958587</v>
      </c>
      <c r="M15" s="16">
        <v>0.30092797802716598</v>
      </c>
      <c r="N15">
        <v>2.4081898600920013</v>
      </c>
    </row>
    <row r="16" spans="1:14" x14ac:dyDescent="0.4">
      <c r="A16">
        <v>3</v>
      </c>
      <c r="C16">
        <v>5</v>
      </c>
      <c r="D16">
        <v>4</v>
      </c>
      <c r="H16" t="s">
        <v>517</v>
      </c>
      <c r="I16">
        <v>688.85953488372093</v>
      </c>
      <c r="J16">
        <v>247</v>
      </c>
      <c r="K16">
        <v>2.7889049995292345</v>
      </c>
    </row>
    <row r="17" spans="1:14" x14ac:dyDescent="0.4">
      <c r="A17">
        <v>1</v>
      </c>
      <c r="C17">
        <v>4</v>
      </c>
      <c r="D17">
        <v>2</v>
      </c>
    </row>
    <row r="18" spans="1:14" ht="16.5" thickBot="1" x14ac:dyDescent="0.45">
      <c r="A18">
        <v>6</v>
      </c>
      <c r="C18">
        <v>5</v>
      </c>
      <c r="D18">
        <v>3</v>
      </c>
      <c r="H18" s="2" t="s">
        <v>518</v>
      </c>
      <c r="I18" s="2">
        <v>702.51984126984246</v>
      </c>
      <c r="J18" s="2">
        <v>251</v>
      </c>
      <c r="K18" s="2"/>
      <c r="L18" s="2"/>
      <c r="M18" s="2"/>
      <c r="N18" s="2"/>
    </row>
    <row r="19" spans="1:14" x14ac:dyDescent="0.4">
      <c r="A19">
        <v>8</v>
      </c>
      <c r="C19">
        <v>5</v>
      </c>
      <c r="D19">
        <v>6</v>
      </c>
    </row>
    <row r="20" spans="1:14" x14ac:dyDescent="0.4">
      <c r="A20">
        <v>3</v>
      </c>
      <c r="C20">
        <v>5</v>
      </c>
      <c r="D20">
        <v>5</v>
      </c>
    </row>
    <row r="21" spans="1:14" x14ac:dyDescent="0.4">
      <c r="A21">
        <v>2</v>
      </c>
      <c r="C21">
        <v>3</v>
      </c>
      <c r="D21">
        <v>6</v>
      </c>
    </row>
    <row r="22" spans="1:14" x14ac:dyDescent="0.4">
      <c r="A22">
        <v>2</v>
      </c>
      <c r="C22">
        <v>5</v>
      </c>
      <c r="D22">
        <v>8</v>
      </c>
    </row>
    <row r="23" spans="1:14" x14ac:dyDescent="0.4">
      <c r="A23">
        <v>3</v>
      </c>
      <c r="C23">
        <v>4</v>
      </c>
      <c r="D23">
        <v>4</v>
      </c>
    </row>
    <row r="24" spans="1:14" x14ac:dyDescent="0.4">
      <c r="A24">
        <v>5</v>
      </c>
      <c r="C24">
        <v>5</v>
      </c>
      <c r="D24">
        <v>7</v>
      </c>
    </row>
    <row r="25" spans="1:14" x14ac:dyDescent="0.4">
      <c r="A25">
        <v>5</v>
      </c>
      <c r="C25">
        <v>2</v>
      </c>
      <c r="D25">
        <v>4</v>
      </c>
    </row>
    <row r="26" spans="1:14" x14ac:dyDescent="0.4">
      <c r="A26">
        <v>6</v>
      </c>
      <c r="C26">
        <v>4</v>
      </c>
      <c r="D26">
        <v>4</v>
      </c>
    </row>
    <row r="27" spans="1:14" x14ac:dyDescent="0.4">
      <c r="A27">
        <v>5</v>
      </c>
      <c r="C27">
        <v>1</v>
      </c>
      <c r="D27">
        <v>2</v>
      </c>
    </row>
    <row r="28" spans="1:14" x14ac:dyDescent="0.4">
      <c r="A28">
        <v>4</v>
      </c>
      <c r="C28">
        <v>4</v>
      </c>
      <c r="D28">
        <v>4</v>
      </c>
    </row>
    <row r="29" spans="1:14" x14ac:dyDescent="0.4">
      <c r="A29">
        <v>6</v>
      </c>
      <c r="C29">
        <v>2</v>
      </c>
      <c r="D29">
        <v>4</v>
      </c>
    </row>
    <row r="30" spans="1:14" x14ac:dyDescent="0.4">
      <c r="A30">
        <v>2</v>
      </c>
      <c r="C30">
        <v>2</v>
      </c>
      <c r="D30">
        <v>6</v>
      </c>
    </row>
    <row r="31" spans="1:14" x14ac:dyDescent="0.4">
      <c r="A31">
        <v>2</v>
      </c>
      <c r="C31">
        <v>6</v>
      </c>
      <c r="D31">
        <v>5</v>
      </c>
    </row>
    <row r="32" spans="1:14" x14ac:dyDescent="0.4">
      <c r="A32">
        <v>2</v>
      </c>
      <c r="C32">
        <v>5</v>
      </c>
      <c r="D32">
        <v>4</v>
      </c>
    </row>
    <row r="33" spans="1:4" x14ac:dyDescent="0.4">
      <c r="A33">
        <v>2</v>
      </c>
      <c r="C33">
        <v>7</v>
      </c>
      <c r="D33">
        <v>4</v>
      </c>
    </row>
    <row r="34" spans="1:4" x14ac:dyDescent="0.4">
      <c r="A34">
        <v>4</v>
      </c>
      <c r="C34">
        <v>5</v>
      </c>
      <c r="D34">
        <v>6</v>
      </c>
    </row>
    <row r="35" spans="1:4" x14ac:dyDescent="0.4">
      <c r="A35">
        <v>4</v>
      </c>
      <c r="C35">
        <v>4</v>
      </c>
      <c r="D35">
        <v>5</v>
      </c>
    </row>
    <row r="36" spans="1:4" x14ac:dyDescent="0.4">
      <c r="A36">
        <v>8</v>
      </c>
      <c r="C36">
        <v>6</v>
      </c>
      <c r="D36">
        <v>7</v>
      </c>
    </row>
    <row r="37" spans="1:4" x14ac:dyDescent="0.4">
      <c r="A37">
        <v>7</v>
      </c>
      <c r="C37">
        <v>6</v>
      </c>
      <c r="D37">
        <v>2</v>
      </c>
    </row>
    <row r="38" spans="1:4" x14ac:dyDescent="0.4">
      <c r="A38">
        <v>2</v>
      </c>
      <c r="C38">
        <v>5</v>
      </c>
      <c r="D38">
        <v>4</v>
      </c>
    </row>
    <row r="39" spans="1:4" x14ac:dyDescent="0.4">
      <c r="A39">
        <v>5</v>
      </c>
      <c r="C39">
        <v>1</v>
      </c>
      <c r="D39">
        <v>1</v>
      </c>
    </row>
    <row r="40" spans="1:4" x14ac:dyDescent="0.4">
      <c r="A40">
        <v>6</v>
      </c>
      <c r="C40">
        <v>4</v>
      </c>
      <c r="D40">
        <v>4</v>
      </c>
    </row>
    <row r="41" spans="1:4" x14ac:dyDescent="0.4">
      <c r="A41">
        <v>5</v>
      </c>
      <c r="C41">
        <v>2</v>
      </c>
      <c r="D41">
        <v>4</v>
      </c>
    </row>
    <row r="42" spans="1:4" x14ac:dyDescent="0.4">
      <c r="A42">
        <v>5</v>
      </c>
      <c r="C42">
        <v>3</v>
      </c>
      <c r="D42">
        <v>8</v>
      </c>
    </row>
    <row r="43" spans="1:4" x14ac:dyDescent="0.4">
      <c r="A43">
        <v>5</v>
      </c>
      <c r="C43">
        <v>4</v>
      </c>
      <c r="D43">
        <v>3</v>
      </c>
    </row>
    <row r="44" spans="1:4" x14ac:dyDescent="0.4">
      <c r="A44">
        <v>5</v>
      </c>
      <c r="C44">
        <v>6</v>
      </c>
      <c r="D44">
        <v>4</v>
      </c>
    </row>
    <row r="45" spans="1:4" x14ac:dyDescent="0.4">
      <c r="A45">
        <v>2</v>
      </c>
      <c r="C45">
        <v>2</v>
      </c>
      <c r="D45">
        <v>4</v>
      </c>
    </row>
    <row r="46" spans="1:4" x14ac:dyDescent="0.4">
      <c r="A46">
        <v>6</v>
      </c>
      <c r="C46">
        <v>5</v>
      </c>
      <c r="D46">
        <v>3</v>
      </c>
    </row>
    <row r="47" spans="1:4" x14ac:dyDescent="0.4">
      <c r="A47">
        <v>6</v>
      </c>
      <c r="C47">
        <v>5</v>
      </c>
      <c r="D47">
        <v>3</v>
      </c>
    </row>
    <row r="48" spans="1:4" x14ac:dyDescent="0.4">
      <c r="A48">
        <v>4</v>
      </c>
      <c r="C48">
        <v>1</v>
      </c>
      <c r="D48">
        <v>2</v>
      </c>
    </row>
    <row r="49" spans="1:4" x14ac:dyDescent="0.4">
      <c r="A49">
        <v>5</v>
      </c>
      <c r="C49">
        <v>5</v>
      </c>
      <c r="D49">
        <v>7</v>
      </c>
    </row>
    <row r="50" spans="1:4" x14ac:dyDescent="0.4">
      <c r="A50">
        <v>5</v>
      </c>
      <c r="C50">
        <v>6</v>
      </c>
      <c r="D50">
        <v>6</v>
      </c>
    </row>
    <row r="51" spans="1:4" x14ac:dyDescent="0.4">
      <c r="A51">
        <v>4</v>
      </c>
      <c r="C51">
        <v>5</v>
      </c>
      <c r="D51">
        <v>3</v>
      </c>
    </row>
    <row r="52" spans="1:4" x14ac:dyDescent="0.4">
      <c r="A52">
        <v>6</v>
      </c>
      <c r="C52">
        <v>3</v>
      </c>
      <c r="D52">
        <v>3</v>
      </c>
    </row>
    <row r="53" spans="1:4" x14ac:dyDescent="0.4">
      <c r="A53">
        <v>4</v>
      </c>
      <c r="C53">
        <v>4</v>
      </c>
      <c r="D53">
        <v>1</v>
      </c>
    </row>
    <row r="54" spans="1:4" x14ac:dyDescent="0.4">
      <c r="A54">
        <v>4</v>
      </c>
      <c r="C54">
        <v>5</v>
      </c>
      <c r="D54">
        <v>7</v>
      </c>
    </row>
    <row r="55" spans="1:4" x14ac:dyDescent="0.4">
      <c r="A55">
        <v>5</v>
      </c>
      <c r="C55">
        <v>5</v>
      </c>
      <c r="D55">
        <v>5</v>
      </c>
    </row>
    <row r="56" spans="1:4" x14ac:dyDescent="0.4">
      <c r="A56">
        <v>6</v>
      </c>
      <c r="C56">
        <v>6</v>
      </c>
      <c r="D56">
        <v>4</v>
      </c>
    </row>
    <row r="57" spans="1:4" x14ac:dyDescent="0.4">
      <c r="A57">
        <v>6</v>
      </c>
      <c r="C57">
        <v>3</v>
      </c>
      <c r="D57">
        <v>6</v>
      </c>
    </row>
    <row r="58" spans="1:4" x14ac:dyDescent="0.4">
      <c r="A58">
        <v>8</v>
      </c>
      <c r="C58">
        <v>6</v>
      </c>
      <c r="D58">
        <v>2</v>
      </c>
    </row>
    <row r="59" spans="1:4" x14ac:dyDescent="0.4">
      <c r="A59">
        <v>7</v>
      </c>
      <c r="C59">
        <v>6</v>
      </c>
      <c r="D59">
        <v>3</v>
      </c>
    </row>
    <row r="60" spans="1:4" x14ac:dyDescent="0.4">
      <c r="A60">
        <v>6</v>
      </c>
      <c r="C60">
        <v>5</v>
      </c>
      <c r="D60">
        <v>2</v>
      </c>
    </row>
    <row r="61" spans="1:4" x14ac:dyDescent="0.4">
      <c r="A61">
        <v>2</v>
      </c>
      <c r="C61">
        <v>2</v>
      </c>
      <c r="D61">
        <v>4</v>
      </c>
    </row>
    <row r="62" spans="1:4" x14ac:dyDescent="0.4">
      <c r="A62">
        <v>4</v>
      </c>
      <c r="C62">
        <v>6</v>
      </c>
      <c r="D62">
        <v>2</v>
      </c>
    </row>
    <row r="63" spans="1:4" x14ac:dyDescent="0.4">
      <c r="A63">
        <v>6</v>
      </c>
      <c r="C63">
        <v>3</v>
      </c>
      <c r="D63">
        <v>3</v>
      </c>
    </row>
    <row r="64" spans="1:4" x14ac:dyDescent="0.4">
      <c r="A64">
        <v>3</v>
      </c>
      <c r="C64">
        <v>4</v>
      </c>
      <c r="D64">
        <v>4</v>
      </c>
    </row>
    <row r="65" spans="1:4" x14ac:dyDescent="0.4">
      <c r="A65">
        <v>4</v>
      </c>
      <c r="C65">
        <v>7</v>
      </c>
      <c r="D65">
        <v>5</v>
      </c>
    </row>
    <row r="66" spans="1:4" x14ac:dyDescent="0.4">
      <c r="A66">
        <v>5</v>
      </c>
      <c r="C66">
        <v>3</v>
      </c>
      <c r="D66">
        <v>6</v>
      </c>
    </row>
    <row r="67" spans="1:4" x14ac:dyDescent="0.4">
      <c r="A67">
        <v>2</v>
      </c>
      <c r="C67">
        <v>6</v>
      </c>
      <c r="D67">
        <v>6</v>
      </c>
    </row>
    <row r="68" spans="1:4" x14ac:dyDescent="0.4">
      <c r="A68">
        <v>3</v>
      </c>
      <c r="C68">
        <v>6</v>
      </c>
      <c r="D68">
        <v>5</v>
      </c>
    </row>
    <row r="69" spans="1:4" x14ac:dyDescent="0.4">
      <c r="A69">
        <v>6</v>
      </c>
      <c r="C69">
        <v>3</v>
      </c>
      <c r="D69">
        <v>6</v>
      </c>
    </row>
    <row r="70" spans="1:4" x14ac:dyDescent="0.4">
      <c r="A70">
        <v>5</v>
      </c>
      <c r="C70">
        <v>5</v>
      </c>
      <c r="D70">
        <v>4</v>
      </c>
    </row>
    <row r="71" spans="1:4" x14ac:dyDescent="0.4">
      <c r="A71">
        <v>5</v>
      </c>
      <c r="C71">
        <v>5</v>
      </c>
      <c r="D71">
        <v>7</v>
      </c>
    </row>
    <row r="72" spans="1:4" x14ac:dyDescent="0.4">
      <c r="A72">
        <v>6</v>
      </c>
      <c r="C72">
        <v>5</v>
      </c>
      <c r="D72">
        <v>1</v>
      </c>
    </row>
    <row r="73" spans="1:4" x14ac:dyDescent="0.4">
      <c r="A73">
        <v>1</v>
      </c>
      <c r="C73">
        <v>5</v>
      </c>
      <c r="D73">
        <v>1</v>
      </c>
    </row>
    <row r="74" spans="1:4" x14ac:dyDescent="0.4">
      <c r="A74">
        <v>4</v>
      </c>
      <c r="C74">
        <v>3</v>
      </c>
      <c r="D74">
        <v>7</v>
      </c>
    </row>
    <row r="75" spans="1:4" x14ac:dyDescent="0.4">
      <c r="A75">
        <v>4</v>
      </c>
      <c r="D75">
        <v>5</v>
      </c>
    </row>
    <row r="76" spans="1:4" x14ac:dyDescent="0.4">
      <c r="A76">
        <v>6</v>
      </c>
      <c r="D76">
        <v>6</v>
      </c>
    </row>
    <row r="77" spans="1:4" x14ac:dyDescent="0.4">
      <c r="A77">
        <v>4</v>
      </c>
      <c r="D77">
        <v>4</v>
      </c>
    </row>
    <row r="78" spans="1:4" x14ac:dyDescent="0.4">
      <c r="D78">
        <v>6</v>
      </c>
    </row>
    <row r="79" spans="1:4" x14ac:dyDescent="0.4">
      <c r="D79">
        <v>5</v>
      </c>
    </row>
    <row r="80" spans="1:4" x14ac:dyDescent="0.4">
      <c r="D80">
        <v>7</v>
      </c>
    </row>
    <row r="81" spans="4:4" x14ac:dyDescent="0.4">
      <c r="D81">
        <v>6</v>
      </c>
    </row>
    <row r="82" spans="4:4" x14ac:dyDescent="0.4">
      <c r="D82">
        <v>2</v>
      </c>
    </row>
    <row r="83" spans="4:4" x14ac:dyDescent="0.4">
      <c r="D83">
        <v>3</v>
      </c>
    </row>
    <row r="84" spans="4:4" x14ac:dyDescent="0.4">
      <c r="D84">
        <v>4</v>
      </c>
    </row>
    <row r="85" spans="4:4" x14ac:dyDescent="0.4">
      <c r="D85">
        <v>6</v>
      </c>
    </row>
    <row r="86" spans="4:4" x14ac:dyDescent="0.4">
      <c r="D86">
        <v>5</v>
      </c>
    </row>
    <row r="87" spans="4:4" x14ac:dyDescent="0.4">
      <c r="D87">
        <v>5</v>
      </c>
    </row>
    <row r="88" spans="4:4" x14ac:dyDescent="0.4">
      <c r="D88">
        <v>7</v>
      </c>
    </row>
  </sheetData>
  <sortState xmlns:xlrd2="http://schemas.microsoft.com/office/spreadsheetml/2017/richdata2" ref="A3:B302">
    <sortCondition ref="A3:A302"/>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60C3A-4223-4477-BF38-7D76B8240360}">
  <dimension ref="A1:P301"/>
  <sheetViews>
    <sheetView workbookViewId="0">
      <selection activeCell="Q16" sqref="Q16"/>
    </sheetView>
  </sheetViews>
  <sheetFormatPr defaultColWidth="8.83203125" defaultRowHeight="16" x14ac:dyDescent="0.4"/>
  <cols>
    <col min="2" max="2" width="9.83203125" customWidth="1"/>
    <col min="10" max="10" width="10" customWidth="1"/>
  </cols>
  <sheetData>
    <row r="1" spans="1:16" ht="16.5" thickBot="1" x14ac:dyDescent="0.45">
      <c r="A1" s="9" t="s">
        <v>12</v>
      </c>
      <c r="B1" s="9" t="s">
        <v>17</v>
      </c>
      <c r="C1" s="9" t="s">
        <v>19</v>
      </c>
      <c r="D1" s="9" t="s">
        <v>21</v>
      </c>
      <c r="E1" s="9" t="s">
        <v>23</v>
      </c>
      <c r="F1" s="9" t="s">
        <v>29</v>
      </c>
    </row>
    <row r="2" spans="1:16" x14ac:dyDescent="0.4">
      <c r="A2">
        <v>65</v>
      </c>
      <c r="B2">
        <v>3</v>
      </c>
      <c r="C2">
        <v>0.25</v>
      </c>
      <c r="D2">
        <v>70</v>
      </c>
      <c r="E2">
        <v>2</v>
      </c>
      <c r="F2">
        <v>100</v>
      </c>
      <c r="J2" s="10"/>
      <c r="K2" s="10" t="s">
        <v>12</v>
      </c>
      <c r="L2" s="10" t="s">
        <v>17</v>
      </c>
      <c r="M2" s="10" t="s">
        <v>19</v>
      </c>
      <c r="N2" s="10" t="s">
        <v>21</v>
      </c>
      <c r="O2" s="10" t="s">
        <v>23</v>
      </c>
      <c r="P2" s="10" t="s">
        <v>29</v>
      </c>
    </row>
    <row r="3" spans="1:16" x14ac:dyDescent="0.4">
      <c r="A3">
        <v>58</v>
      </c>
      <c r="B3">
        <v>5</v>
      </c>
      <c r="C3">
        <v>0.5</v>
      </c>
      <c r="D3">
        <v>50</v>
      </c>
      <c r="E3">
        <v>2</v>
      </c>
      <c r="F3">
        <v>100</v>
      </c>
      <c r="J3" t="s">
        <v>12</v>
      </c>
      <c r="K3" s="11">
        <v>1</v>
      </c>
    </row>
    <row r="4" spans="1:16" x14ac:dyDescent="0.4">
      <c r="A4">
        <v>20</v>
      </c>
      <c r="B4">
        <v>5</v>
      </c>
      <c r="C4">
        <v>1.5</v>
      </c>
      <c r="D4">
        <v>50</v>
      </c>
      <c r="E4">
        <v>2</v>
      </c>
      <c r="F4">
        <v>450</v>
      </c>
      <c r="J4" t="s">
        <v>17</v>
      </c>
      <c r="K4">
        <v>-0.10139690798987203</v>
      </c>
      <c r="L4" s="11">
        <v>1</v>
      </c>
    </row>
    <row r="5" spans="1:16" x14ac:dyDescent="0.4">
      <c r="A5">
        <v>28</v>
      </c>
      <c r="B5">
        <v>6</v>
      </c>
      <c r="C5">
        <v>1</v>
      </c>
      <c r="D5">
        <v>50</v>
      </c>
      <c r="E5">
        <v>5</v>
      </c>
      <c r="F5">
        <v>360</v>
      </c>
      <c r="J5" t="s">
        <v>19</v>
      </c>
      <c r="K5" s="15">
        <v>-0.39582631199039203</v>
      </c>
      <c r="L5">
        <v>-5.1140964657902944E-2</v>
      </c>
      <c r="M5" s="11">
        <v>1</v>
      </c>
    </row>
    <row r="6" spans="1:16" x14ac:dyDescent="0.4">
      <c r="A6">
        <v>53</v>
      </c>
      <c r="B6">
        <v>6</v>
      </c>
      <c r="C6">
        <v>0.25</v>
      </c>
      <c r="D6">
        <v>45</v>
      </c>
      <c r="E6">
        <v>6</v>
      </c>
      <c r="F6">
        <v>135</v>
      </c>
      <c r="J6" t="s">
        <v>21</v>
      </c>
      <c r="K6">
        <v>2.8113933904423252E-2</v>
      </c>
      <c r="L6">
        <v>8.3283313888955907E-2</v>
      </c>
      <c r="M6">
        <v>0.17985563247955652</v>
      </c>
      <c r="N6" s="11">
        <v>1</v>
      </c>
    </row>
    <row r="7" spans="1:16" x14ac:dyDescent="0.4">
      <c r="A7">
        <v>20</v>
      </c>
      <c r="B7">
        <v>5</v>
      </c>
      <c r="C7">
        <v>2</v>
      </c>
      <c r="D7">
        <v>50</v>
      </c>
      <c r="E7">
        <v>2</v>
      </c>
      <c r="F7">
        <v>550</v>
      </c>
      <c r="J7" t="s">
        <v>23</v>
      </c>
      <c r="K7">
        <v>6.5678478177093991E-2</v>
      </c>
      <c r="L7">
        <v>-1.0703834571576925E-2</v>
      </c>
      <c r="M7">
        <v>-0.13280726027660414</v>
      </c>
      <c r="N7">
        <v>-2.3012795806794845E-2</v>
      </c>
      <c r="O7" s="11">
        <v>1</v>
      </c>
    </row>
    <row r="8" spans="1:16" ht="16.5" thickBot="1" x14ac:dyDescent="0.45">
      <c r="A8">
        <v>40</v>
      </c>
      <c r="B8">
        <v>4</v>
      </c>
      <c r="C8">
        <v>0.5</v>
      </c>
      <c r="D8">
        <v>100</v>
      </c>
      <c r="E8">
        <v>4</v>
      </c>
      <c r="F8">
        <v>360</v>
      </c>
      <c r="J8" s="2" t="s">
        <v>29</v>
      </c>
      <c r="K8" s="13">
        <v>-0.87647981160182664</v>
      </c>
      <c r="L8" s="14">
        <v>0.13498082578631695</v>
      </c>
      <c r="M8" s="14">
        <v>0.40613961253175251</v>
      </c>
      <c r="N8" s="13">
        <v>2.2392461105348031E-2</v>
      </c>
      <c r="O8" s="13">
        <v>-4.6123245702457148E-2</v>
      </c>
      <c r="P8" s="12">
        <v>1</v>
      </c>
    </row>
    <row r="9" spans="1:16" x14ac:dyDescent="0.4">
      <c r="A9">
        <v>41</v>
      </c>
      <c r="B9">
        <v>5</v>
      </c>
      <c r="C9">
        <v>0.25</v>
      </c>
      <c r="D9">
        <v>50</v>
      </c>
      <c r="E9">
        <v>3</v>
      </c>
      <c r="F9">
        <v>270</v>
      </c>
    </row>
    <row r="10" spans="1:16" x14ac:dyDescent="0.4">
      <c r="A10">
        <v>74</v>
      </c>
      <c r="B10">
        <v>6</v>
      </c>
      <c r="C10">
        <v>1</v>
      </c>
      <c r="D10">
        <v>40</v>
      </c>
      <c r="E10">
        <v>4</v>
      </c>
      <c r="F10">
        <v>90</v>
      </c>
    </row>
    <row r="11" spans="1:16" x14ac:dyDescent="0.4">
      <c r="A11">
        <v>63</v>
      </c>
      <c r="B11">
        <v>3</v>
      </c>
      <c r="C11">
        <v>0.5</v>
      </c>
      <c r="D11">
        <v>250</v>
      </c>
      <c r="E11">
        <v>4</v>
      </c>
      <c r="F11">
        <v>100</v>
      </c>
    </row>
    <row r="12" spans="1:16" x14ac:dyDescent="0.4">
      <c r="A12">
        <v>33</v>
      </c>
      <c r="B12">
        <v>4</v>
      </c>
      <c r="C12">
        <v>1</v>
      </c>
      <c r="D12">
        <v>50</v>
      </c>
      <c r="E12">
        <v>2</v>
      </c>
      <c r="F12">
        <v>360</v>
      </c>
    </row>
    <row r="13" spans="1:16" x14ac:dyDescent="0.4">
      <c r="A13">
        <v>42</v>
      </c>
      <c r="B13">
        <v>3</v>
      </c>
      <c r="C13">
        <v>0.5</v>
      </c>
      <c r="D13">
        <v>20</v>
      </c>
      <c r="E13">
        <v>4</v>
      </c>
      <c r="F13">
        <v>270</v>
      </c>
    </row>
    <row r="14" spans="1:16" x14ac:dyDescent="0.4">
      <c r="A14">
        <v>74</v>
      </c>
      <c r="B14">
        <v>4</v>
      </c>
      <c r="C14">
        <v>0.5</v>
      </c>
      <c r="D14">
        <v>40</v>
      </c>
      <c r="E14">
        <v>3</v>
      </c>
      <c r="F14">
        <v>90</v>
      </c>
    </row>
    <row r="15" spans="1:16" x14ac:dyDescent="0.4">
      <c r="A15">
        <v>56</v>
      </c>
      <c r="B15">
        <v>8</v>
      </c>
      <c r="C15">
        <v>0.25</v>
      </c>
      <c r="D15">
        <v>250</v>
      </c>
      <c r="E15">
        <v>3</v>
      </c>
      <c r="F15">
        <v>90</v>
      </c>
    </row>
    <row r="16" spans="1:16" x14ac:dyDescent="0.4">
      <c r="A16">
        <v>48</v>
      </c>
      <c r="B16">
        <v>4</v>
      </c>
      <c r="C16">
        <v>0.5</v>
      </c>
      <c r="D16">
        <v>70</v>
      </c>
      <c r="E16">
        <v>5</v>
      </c>
      <c r="F16">
        <v>180</v>
      </c>
    </row>
    <row r="17" spans="1:10" x14ac:dyDescent="0.4">
      <c r="A17">
        <v>49</v>
      </c>
      <c r="B17">
        <v>4</v>
      </c>
      <c r="C17">
        <v>0.5</v>
      </c>
      <c r="D17">
        <v>25</v>
      </c>
      <c r="E17">
        <v>3</v>
      </c>
      <c r="F17">
        <v>150</v>
      </c>
    </row>
    <row r="18" spans="1:10" x14ac:dyDescent="0.4">
      <c r="A18">
        <v>54</v>
      </c>
      <c r="B18">
        <v>5</v>
      </c>
      <c r="C18">
        <v>0.5</v>
      </c>
      <c r="D18">
        <v>20</v>
      </c>
      <c r="E18">
        <v>4</v>
      </c>
      <c r="F18">
        <v>100</v>
      </c>
    </row>
    <row r="19" spans="1:10" x14ac:dyDescent="0.4">
      <c r="A19">
        <v>37</v>
      </c>
      <c r="B19">
        <v>6</v>
      </c>
      <c r="C19">
        <v>1</v>
      </c>
      <c r="D19">
        <v>50</v>
      </c>
      <c r="E19">
        <v>2</v>
      </c>
      <c r="F19">
        <v>270</v>
      </c>
    </row>
    <row r="20" spans="1:10" x14ac:dyDescent="0.4">
      <c r="A20">
        <v>49</v>
      </c>
      <c r="B20">
        <v>3</v>
      </c>
      <c r="C20">
        <v>0.5</v>
      </c>
      <c r="D20">
        <v>30</v>
      </c>
      <c r="E20">
        <v>2</v>
      </c>
      <c r="F20">
        <v>180</v>
      </c>
    </row>
    <row r="21" spans="1:10" x14ac:dyDescent="0.4">
      <c r="A21">
        <v>42</v>
      </c>
      <c r="B21">
        <v>3</v>
      </c>
      <c r="C21">
        <v>1</v>
      </c>
      <c r="D21">
        <v>50</v>
      </c>
      <c r="E21">
        <v>2</v>
      </c>
      <c r="F21">
        <v>240</v>
      </c>
    </row>
    <row r="22" spans="1:10" x14ac:dyDescent="0.4">
      <c r="A22">
        <v>36</v>
      </c>
      <c r="B22">
        <v>5</v>
      </c>
      <c r="C22">
        <v>1</v>
      </c>
      <c r="D22">
        <v>50</v>
      </c>
      <c r="E22">
        <v>5</v>
      </c>
      <c r="F22">
        <v>270</v>
      </c>
    </row>
    <row r="23" spans="1:10" x14ac:dyDescent="0.4">
      <c r="A23">
        <v>40</v>
      </c>
      <c r="B23">
        <v>3</v>
      </c>
      <c r="C23">
        <v>0.75</v>
      </c>
      <c r="D23">
        <v>50</v>
      </c>
      <c r="E23">
        <v>3</v>
      </c>
      <c r="F23">
        <v>270</v>
      </c>
    </row>
    <row r="24" spans="1:10" x14ac:dyDescent="0.4">
      <c r="A24">
        <v>29</v>
      </c>
      <c r="B24">
        <v>5</v>
      </c>
      <c r="C24">
        <v>0.5</v>
      </c>
      <c r="D24">
        <v>20</v>
      </c>
      <c r="E24">
        <v>2</v>
      </c>
      <c r="F24">
        <v>360</v>
      </c>
    </row>
    <row r="25" spans="1:10" x14ac:dyDescent="0.4">
      <c r="A25">
        <v>55</v>
      </c>
      <c r="B25">
        <v>4</v>
      </c>
      <c r="C25">
        <v>2.5</v>
      </c>
      <c r="D25">
        <v>50</v>
      </c>
      <c r="E25">
        <v>3</v>
      </c>
      <c r="F25">
        <v>150</v>
      </c>
    </row>
    <row r="26" spans="1:10" x14ac:dyDescent="0.4">
      <c r="A26">
        <v>44</v>
      </c>
      <c r="B26">
        <v>3</v>
      </c>
      <c r="C26">
        <v>0.25</v>
      </c>
      <c r="D26">
        <v>20</v>
      </c>
      <c r="E26">
        <v>2</v>
      </c>
      <c r="F26">
        <v>180</v>
      </c>
    </row>
    <row r="27" spans="1:10" x14ac:dyDescent="0.4">
      <c r="A27">
        <v>51</v>
      </c>
      <c r="B27">
        <v>3</v>
      </c>
      <c r="C27">
        <v>0.5</v>
      </c>
      <c r="D27">
        <v>150</v>
      </c>
      <c r="E27">
        <v>2</v>
      </c>
      <c r="F27">
        <v>150</v>
      </c>
      <c r="J27" t="s">
        <v>519</v>
      </c>
    </row>
    <row r="28" spans="1:10" x14ac:dyDescent="0.4">
      <c r="A28">
        <v>48</v>
      </c>
      <c r="B28">
        <v>3</v>
      </c>
      <c r="C28">
        <v>0.5</v>
      </c>
      <c r="D28">
        <v>200</v>
      </c>
      <c r="E28">
        <v>2</v>
      </c>
      <c r="F28">
        <v>180</v>
      </c>
    </row>
    <row r="29" spans="1:10" x14ac:dyDescent="0.4">
      <c r="A29">
        <v>72</v>
      </c>
      <c r="B29">
        <v>2</v>
      </c>
      <c r="C29">
        <v>0.3</v>
      </c>
      <c r="D29">
        <v>40</v>
      </c>
      <c r="E29">
        <v>4</v>
      </c>
      <c r="F29">
        <v>90</v>
      </c>
    </row>
    <row r="30" spans="1:10" x14ac:dyDescent="0.4">
      <c r="A30">
        <v>52</v>
      </c>
      <c r="B30">
        <v>3</v>
      </c>
      <c r="C30">
        <v>0.5</v>
      </c>
      <c r="D30">
        <v>200</v>
      </c>
      <c r="E30">
        <v>2</v>
      </c>
      <c r="F30">
        <v>180</v>
      </c>
    </row>
    <row r="31" spans="1:10" x14ac:dyDescent="0.4">
      <c r="A31">
        <v>59</v>
      </c>
      <c r="B31">
        <v>3</v>
      </c>
      <c r="C31">
        <v>0.25</v>
      </c>
      <c r="D31">
        <v>20</v>
      </c>
      <c r="E31">
        <v>2</v>
      </c>
      <c r="F31">
        <v>90</v>
      </c>
    </row>
    <row r="32" spans="1:10" x14ac:dyDescent="0.4">
      <c r="A32">
        <v>40</v>
      </c>
      <c r="B32">
        <v>4</v>
      </c>
      <c r="C32">
        <v>1</v>
      </c>
      <c r="D32">
        <v>20</v>
      </c>
      <c r="E32">
        <v>3</v>
      </c>
      <c r="F32">
        <v>270</v>
      </c>
    </row>
    <row r="33" spans="1:6" x14ac:dyDescent="0.4">
      <c r="A33">
        <v>22</v>
      </c>
      <c r="B33">
        <v>2</v>
      </c>
      <c r="C33">
        <v>2</v>
      </c>
      <c r="D33">
        <v>150</v>
      </c>
      <c r="E33">
        <v>2</v>
      </c>
      <c r="F33">
        <v>550</v>
      </c>
    </row>
    <row r="34" spans="1:6" x14ac:dyDescent="0.4">
      <c r="A34">
        <v>59</v>
      </c>
      <c r="B34">
        <v>3</v>
      </c>
      <c r="C34">
        <v>1</v>
      </c>
      <c r="D34">
        <v>37</v>
      </c>
      <c r="E34">
        <v>2</v>
      </c>
      <c r="F34">
        <v>80</v>
      </c>
    </row>
    <row r="35" spans="1:6" x14ac:dyDescent="0.4">
      <c r="A35">
        <v>25</v>
      </c>
      <c r="B35">
        <v>6</v>
      </c>
      <c r="C35">
        <v>0.5</v>
      </c>
      <c r="D35">
        <v>20</v>
      </c>
      <c r="E35">
        <v>3</v>
      </c>
      <c r="F35">
        <v>540</v>
      </c>
    </row>
    <row r="36" spans="1:6" x14ac:dyDescent="0.4">
      <c r="A36">
        <v>36</v>
      </c>
      <c r="B36">
        <v>5</v>
      </c>
      <c r="C36">
        <v>0.5</v>
      </c>
      <c r="D36">
        <v>30</v>
      </c>
      <c r="E36">
        <v>2</v>
      </c>
      <c r="F36">
        <v>250</v>
      </c>
    </row>
    <row r="37" spans="1:6" x14ac:dyDescent="0.4">
      <c r="A37">
        <v>67</v>
      </c>
      <c r="B37">
        <v>6</v>
      </c>
      <c r="C37">
        <v>0.5</v>
      </c>
      <c r="D37">
        <v>40</v>
      </c>
      <c r="E37">
        <v>3</v>
      </c>
      <c r="F37">
        <v>90</v>
      </c>
    </row>
    <row r="38" spans="1:6" x14ac:dyDescent="0.4">
      <c r="A38">
        <v>56</v>
      </c>
      <c r="B38">
        <v>8</v>
      </c>
      <c r="C38">
        <v>0.75</v>
      </c>
      <c r="D38">
        <v>25</v>
      </c>
      <c r="E38">
        <v>3</v>
      </c>
      <c r="F38">
        <v>70</v>
      </c>
    </row>
    <row r="39" spans="1:6" x14ac:dyDescent="0.4">
      <c r="A39">
        <v>43</v>
      </c>
      <c r="B39">
        <v>4</v>
      </c>
      <c r="C39">
        <v>1</v>
      </c>
      <c r="D39">
        <v>300</v>
      </c>
      <c r="E39">
        <v>2</v>
      </c>
      <c r="F39">
        <v>300</v>
      </c>
    </row>
    <row r="40" spans="1:6" x14ac:dyDescent="0.4">
      <c r="A40">
        <v>59</v>
      </c>
      <c r="B40">
        <v>5</v>
      </c>
      <c r="C40">
        <v>1</v>
      </c>
      <c r="D40">
        <v>25</v>
      </c>
      <c r="E40">
        <v>3</v>
      </c>
      <c r="F40">
        <v>60</v>
      </c>
    </row>
    <row r="41" spans="1:6" x14ac:dyDescent="0.4">
      <c r="A41">
        <v>40</v>
      </c>
      <c r="B41">
        <v>5</v>
      </c>
      <c r="C41">
        <v>1</v>
      </c>
      <c r="D41">
        <v>21</v>
      </c>
      <c r="E41">
        <v>3</v>
      </c>
      <c r="F41">
        <v>270</v>
      </c>
    </row>
    <row r="42" spans="1:6" x14ac:dyDescent="0.4">
      <c r="A42">
        <v>40</v>
      </c>
      <c r="B42">
        <v>6</v>
      </c>
      <c r="C42">
        <v>0.5</v>
      </c>
      <c r="D42">
        <v>20</v>
      </c>
      <c r="E42">
        <v>2</v>
      </c>
      <c r="F42">
        <v>180</v>
      </c>
    </row>
    <row r="43" spans="1:6" x14ac:dyDescent="0.4">
      <c r="A43">
        <v>42</v>
      </c>
      <c r="B43">
        <v>4</v>
      </c>
      <c r="C43">
        <v>0.25</v>
      </c>
      <c r="D43">
        <v>50</v>
      </c>
      <c r="E43">
        <v>2</v>
      </c>
      <c r="F43">
        <v>270</v>
      </c>
    </row>
    <row r="44" spans="1:6" x14ac:dyDescent="0.4">
      <c r="A44">
        <v>24</v>
      </c>
      <c r="B44">
        <v>6</v>
      </c>
      <c r="C44">
        <v>1</v>
      </c>
      <c r="D44">
        <v>100</v>
      </c>
      <c r="E44">
        <v>2</v>
      </c>
      <c r="F44">
        <v>450</v>
      </c>
    </row>
    <row r="45" spans="1:6" x14ac:dyDescent="0.4">
      <c r="A45">
        <v>46</v>
      </c>
      <c r="B45">
        <v>3</v>
      </c>
      <c r="C45">
        <v>1</v>
      </c>
      <c r="D45">
        <v>50</v>
      </c>
      <c r="E45">
        <v>4</v>
      </c>
      <c r="F45">
        <v>180</v>
      </c>
    </row>
    <row r="46" spans="1:6" x14ac:dyDescent="0.4">
      <c r="A46">
        <v>44</v>
      </c>
      <c r="B46">
        <v>6</v>
      </c>
      <c r="C46">
        <v>1</v>
      </c>
      <c r="D46">
        <v>20</v>
      </c>
      <c r="E46">
        <v>3</v>
      </c>
      <c r="F46">
        <v>200</v>
      </c>
    </row>
    <row r="47" spans="1:6" x14ac:dyDescent="0.4">
      <c r="A47">
        <v>52</v>
      </c>
      <c r="B47">
        <v>2</v>
      </c>
      <c r="C47">
        <v>0.5</v>
      </c>
      <c r="D47">
        <v>20</v>
      </c>
      <c r="E47">
        <v>3</v>
      </c>
      <c r="F47">
        <v>100</v>
      </c>
    </row>
    <row r="48" spans="1:6" x14ac:dyDescent="0.4">
      <c r="A48">
        <v>72</v>
      </c>
      <c r="B48">
        <v>7</v>
      </c>
      <c r="C48">
        <v>0.25</v>
      </c>
      <c r="D48">
        <v>24</v>
      </c>
      <c r="E48">
        <v>3</v>
      </c>
      <c r="F48">
        <v>50</v>
      </c>
    </row>
    <row r="49" spans="1:6" x14ac:dyDescent="0.4">
      <c r="A49">
        <v>54</v>
      </c>
      <c r="B49">
        <v>4</v>
      </c>
      <c r="C49">
        <v>1</v>
      </c>
      <c r="D49">
        <v>50</v>
      </c>
      <c r="E49">
        <v>2</v>
      </c>
      <c r="F49">
        <v>90</v>
      </c>
    </row>
    <row r="50" spans="1:6" x14ac:dyDescent="0.4">
      <c r="A50">
        <v>48</v>
      </c>
      <c r="B50">
        <v>5</v>
      </c>
      <c r="C50">
        <v>0.25</v>
      </c>
      <c r="D50">
        <v>90</v>
      </c>
      <c r="E50">
        <v>3</v>
      </c>
      <c r="F50">
        <v>180</v>
      </c>
    </row>
    <row r="51" spans="1:6" x14ac:dyDescent="0.4">
      <c r="A51">
        <v>38</v>
      </c>
      <c r="B51">
        <v>4</v>
      </c>
      <c r="C51">
        <v>2</v>
      </c>
      <c r="D51">
        <v>50</v>
      </c>
      <c r="E51">
        <v>2</v>
      </c>
      <c r="F51">
        <v>270</v>
      </c>
    </row>
    <row r="52" spans="1:6" x14ac:dyDescent="0.4">
      <c r="A52">
        <v>44</v>
      </c>
      <c r="B52">
        <v>3</v>
      </c>
      <c r="C52">
        <v>1.5</v>
      </c>
      <c r="D52">
        <v>150</v>
      </c>
      <c r="E52">
        <v>2</v>
      </c>
      <c r="F52">
        <v>330</v>
      </c>
    </row>
    <row r="53" spans="1:6" x14ac:dyDescent="0.4">
      <c r="A53">
        <v>49</v>
      </c>
      <c r="B53">
        <v>1</v>
      </c>
      <c r="C53">
        <v>0.25</v>
      </c>
      <c r="D53">
        <v>50</v>
      </c>
      <c r="E53">
        <v>3</v>
      </c>
      <c r="F53">
        <v>180</v>
      </c>
    </row>
    <row r="54" spans="1:6" x14ac:dyDescent="0.4">
      <c r="A54">
        <v>22</v>
      </c>
      <c r="B54">
        <v>6</v>
      </c>
      <c r="C54">
        <v>1</v>
      </c>
      <c r="D54">
        <v>50</v>
      </c>
      <c r="E54">
        <v>5</v>
      </c>
      <c r="F54">
        <v>360</v>
      </c>
    </row>
    <row r="55" spans="1:6" x14ac:dyDescent="0.4">
      <c r="A55">
        <v>58</v>
      </c>
      <c r="B55">
        <v>4</v>
      </c>
      <c r="C55">
        <v>0.5</v>
      </c>
      <c r="D55">
        <v>50</v>
      </c>
      <c r="E55">
        <v>3</v>
      </c>
      <c r="F55">
        <v>100</v>
      </c>
    </row>
    <row r="56" spans="1:6" x14ac:dyDescent="0.4">
      <c r="A56">
        <v>46</v>
      </c>
      <c r="B56">
        <v>5</v>
      </c>
      <c r="C56">
        <v>1</v>
      </c>
      <c r="D56">
        <v>50</v>
      </c>
      <c r="E56">
        <v>4</v>
      </c>
      <c r="F56">
        <v>180</v>
      </c>
    </row>
    <row r="57" spans="1:6" x14ac:dyDescent="0.4">
      <c r="A57">
        <v>28</v>
      </c>
      <c r="B57">
        <v>8</v>
      </c>
      <c r="C57">
        <v>1.5</v>
      </c>
      <c r="D57">
        <v>25</v>
      </c>
      <c r="E57">
        <v>3</v>
      </c>
      <c r="F57">
        <v>450</v>
      </c>
    </row>
    <row r="58" spans="1:6" x14ac:dyDescent="0.4">
      <c r="A58">
        <v>41</v>
      </c>
      <c r="B58">
        <v>3</v>
      </c>
      <c r="C58">
        <v>1</v>
      </c>
      <c r="D58">
        <v>25</v>
      </c>
      <c r="E58">
        <v>2</v>
      </c>
      <c r="F58">
        <v>180</v>
      </c>
    </row>
    <row r="59" spans="1:6" x14ac:dyDescent="0.4">
      <c r="A59">
        <v>21</v>
      </c>
      <c r="B59">
        <v>4</v>
      </c>
      <c r="C59">
        <v>1.5</v>
      </c>
      <c r="D59">
        <v>40</v>
      </c>
      <c r="E59">
        <v>2</v>
      </c>
      <c r="F59">
        <v>440</v>
      </c>
    </row>
    <row r="60" spans="1:6" x14ac:dyDescent="0.4">
      <c r="A60">
        <v>30</v>
      </c>
      <c r="B60">
        <v>4</v>
      </c>
      <c r="C60">
        <v>0.5</v>
      </c>
      <c r="D60">
        <v>30</v>
      </c>
      <c r="E60">
        <v>2</v>
      </c>
      <c r="F60">
        <v>360</v>
      </c>
    </row>
    <row r="61" spans="1:6" x14ac:dyDescent="0.4">
      <c r="A61">
        <v>49</v>
      </c>
      <c r="B61">
        <v>2</v>
      </c>
      <c r="C61">
        <v>1</v>
      </c>
      <c r="D61">
        <v>30</v>
      </c>
      <c r="E61">
        <v>4</v>
      </c>
      <c r="F61">
        <v>180</v>
      </c>
    </row>
    <row r="62" spans="1:6" x14ac:dyDescent="0.4">
      <c r="A62">
        <v>53</v>
      </c>
      <c r="B62">
        <v>5</v>
      </c>
      <c r="C62">
        <v>0.25</v>
      </c>
      <c r="D62">
        <v>200</v>
      </c>
      <c r="E62">
        <v>2</v>
      </c>
      <c r="F62">
        <v>135</v>
      </c>
    </row>
    <row r="63" spans="1:6" x14ac:dyDescent="0.4">
      <c r="A63">
        <v>23</v>
      </c>
      <c r="B63">
        <v>4</v>
      </c>
      <c r="C63">
        <v>0.75</v>
      </c>
      <c r="D63">
        <v>50</v>
      </c>
      <c r="E63">
        <v>2</v>
      </c>
      <c r="F63">
        <v>360</v>
      </c>
    </row>
    <row r="64" spans="1:6" x14ac:dyDescent="0.4">
      <c r="A64">
        <v>46</v>
      </c>
      <c r="B64">
        <v>5</v>
      </c>
      <c r="C64">
        <v>1</v>
      </c>
      <c r="D64">
        <v>50</v>
      </c>
      <c r="E64">
        <v>2</v>
      </c>
      <c r="F64">
        <v>90</v>
      </c>
    </row>
    <row r="65" spans="1:6" x14ac:dyDescent="0.4">
      <c r="A65">
        <v>36</v>
      </c>
      <c r="B65">
        <v>4</v>
      </c>
      <c r="C65">
        <v>0.5</v>
      </c>
      <c r="D65">
        <v>20</v>
      </c>
      <c r="E65">
        <v>4</v>
      </c>
      <c r="F65">
        <v>180</v>
      </c>
    </row>
    <row r="66" spans="1:6" x14ac:dyDescent="0.4">
      <c r="A66">
        <v>19</v>
      </c>
      <c r="B66">
        <v>2</v>
      </c>
      <c r="C66">
        <v>2</v>
      </c>
      <c r="D66">
        <v>40</v>
      </c>
      <c r="E66">
        <v>4</v>
      </c>
      <c r="F66">
        <v>400</v>
      </c>
    </row>
    <row r="67" spans="1:6" x14ac:dyDescent="0.4">
      <c r="A67">
        <v>52</v>
      </c>
      <c r="B67">
        <v>6</v>
      </c>
      <c r="C67">
        <v>0.75</v>
      </c>
      <c r="D67">
        <v>25</v>
      </c>
      <c r="E67">
        <v>3</v>
      </c>
      <c r="F67">
        <v>100</v>
      </c>
    </row>
    <row r="68" spans="1:6" x14ac:dyDescent="0.4">
      <c r="A68">
        <v>40</v>
      </c>
      <c r="B68">
        <v>5</v>
      </c>
      <c r="C68">
        <v>1</v>
      </c>
      <c r="D68">
        <v>100</v>
      </c>
      <c r="E68">
        <v>2</v>
      </c>
      <c r="F68">
        <v>360</v>
      </c>
    </row>
    <row r="69" spans="1:6" x14ac:dyDescent="0.4">
      <c r="A69">
        <v>49</v>
      </c>
      <c r="B69">
        <v>2</v>
      </c>
      <c r="C69">
        <v>0.25</v>
      </c>
      <c r="D69">
        <v>50</v>
      </c>
      <c r="E69">
        <v>2</v>
      </c>
      <c r="F69">
        <v>180</v>
      </c>
    </row>
    <row r="70" spans="1:6" x14ac:dyDescent="0.4">
      <c r="A70">
        <v>26</v>
      </c>
      <c r="B70">
        <v>5</v>
      </c>
      <c r="C70">
        <v>1.5</v>
      </c>
      <c r="D70">
        <v>25</v>
      </c>
      <c r="E70">
        <v>2</v>
      </c>
      <c r="F70">
        <v>360</v>
      </c>
    </row>
    <row r="71" spans="1:6" x14ac:dyDescent="0.4">
      <c r="A71">
        <v>42</v>
      </c>
      <c r="B71">
        <v>3</v>
      </c>
      <c r="C71">
        <v>0.5</v>
      </c>
      <c r="D71">
        <v>120</v>
      </c>
      <c r="E71">
        <v>2</v>
      </c>
      <c r="F71">
        <v>270</v>
      </c>
    </row>
    <row r="72" spans="1:6" x14ac:dyDescent="0.4">
      <c r="A72">
        <v>45</v>
      </c>
      <c r="B72">
        <v>9</v>
      </c>
      <c r="C72">
        <v>0.5</v>
      </c>
      <c r="D72">
        <v>50</v>
      </c>
      <c r="E72">
        <v>3</v>
      </c>
      <c r="F72">
        <v>270</v>
      </c>
    </row>
    <row r="73" spans="1:6" x14ac:dyDescent="0.4">
      <c r="A73">
        <v>29</v>
      </c>
      <c r="B73">
        <v>5</v>
      </c>
      <c r="C73">
        <v>1</v>
      </c>
      <c r="D73">
        <v>20</v>
      </c>
      <c r="E73">
        <v>2</v>
      </c>
      <c r="F73">
        <v>360</v>
      </c>
    </row>
    <row r="74" spans="1:6" x14ac:dyDescent="0.4">
      <c r="A74">
        <v>50</v>
      </c>
      <c r="B74">
        <v>3</v>
      </c>
      <c r="C74">
        <v>0.5</v>
      </c>
      <c r="D74">
        <v>40</v>
      </c>
      <c r="E74">
        <v>4</v>
      </c>
      <c r="F74">
        <v>115</v>
      </c>
    </row>
    <row r="75" spans="1:6" x14ac:dyDescent="0.4">
      <c r="A75">
        <v>43</v>
      </c>
      <c r="B75">
        <v>4</v>
      </c>
      <c r="C75">
        <v>0.25</v>
      </c>
      <c r="D75">
        <v>20</v>
      </c>
      <c r="E75">
        <v>3</v>
      </c>
      <c r="F75">
        <v>180</v>
      </c>
    </row>
    <row r="76" spans="1:6" x14ac:dyDescent="0.4">
      <c r="A76">
        <v>54</v>
      </c>
      <c r="B76">
        <v>5</v>
      </c>
      <c r="C76">
        <v>0.5</v>
      </c>
      <c r="D76">
        <v>100</v>
      </c>
      <c r="E76">
        <v>3</v>
      </c>
      <c r="F76">
        <v>180</v>
      </c>
    </row>
    <row r="77" spans="1:6" x14ac:dyDescent="0.4">
      <c r="A77">
        <v>24</v>
      </c>
      <c r="B77">
        <v>4</v>
      </c>
      <c r="C77">
        <v>3</v>
      </c>
      <c r="D77">
        <v>60</v>
      </c>
      <c r="E77">
        <v>2</v>
      </c>
      <c r="F77">
        <v>540</v>
      </c>
    </row>
    <row r="78" spans="1:6" x14ac:dyDescent="0.4">
      <c r="A78">
        <v>52</v>
      </c>
      <c r="B78">
        <v>4</v>
      </c>
      <c r="C78">
        <v>1</v>
      </c>
      <c r="D78">
        <v>50</v>
      </c>
      <c r="E78">
        <v>2</v>
      </c>
      <c r="F78">
        <v>150</v>
      </c>
    </row>
    <row r="79" spans="1:6" x14ac:dyDescent="0.4">
      <c r="A79">
        <v>38</v>
      </c>
      <c r="B79">
        <v>3</v>
      </c>
      <c r="C79">
        <v>1</v>
      </c>
      <c r="D79">
        <v>30</v>
      </c>
      <c r="E79">
        <v>3</v>
      </c>
      <c r="F79">
        <v>200</v>
      </c>
    </row>
    <row r="80" spans="1:6" x14ac:dyDescent="0.4">
      <c r="A80">
        <v>45</v>
      </c>
      <c r="B80">
        <v>5</v>
      </c>
      <c r="C80">
        <v>0.25</v>
      </c>
      <c r="D80">
        <v>50</v>
      </c>
      <c r="E80">
        <v>2</v>
      </c>
      <c r="F80">
        <v>270</v>
      </c>
    </row>
    <row r="81" spans="1:6" x14ac:dyDescent="0.4">
      <c r="A81">
        <v>43</v>
      </c>
      <c r="B81">
        <v>2</v>
      </c>
      <c r="C81">
        <v>1</v>
      </c>
      <c r="D81">
        <v>50</v>
      </c>
      <c r="E81">
        <v>3</v>
      </c>
      <c r="F81">
        <v>200</v>
      </c>
    </row>
    <row r="82" spans="1:6" x14ac:dyDescent="0.4">
      <c r="A82">
        <v>40</v>
      </c>
      <c r="B82">
        <v>5</v>
      </c>
      <c r="C82">
        <v>0.5</v>
      </c>
      <c r="D82">
        <v>20</v>
      </c>
      <c r="E82">
        <v>4</v>
      </c>
      <c r="F82">
        <v>180</v>
      </c>
    </row>
    <row r="83" spans="1:6" x14ac:dyDescent="0.4">
      <c r="A83">
        <v>44</v>
      </c>
      <c r="B83">
        <v>6</v>
      </c>
      <c r="C83">
        <v>0.25</v>
      </c>
      <c r="D83">
        <v>50</v>
      </c>
      <c r="E83">
        <v>5</v>
      </c>
      <c r="F83">
        <v>270</v>
      </c>
    </row>
    <row r="84" spans="1:6" x14ac:dyDescent="0.4">
      <c r="A84">
        <v>54</v>
      </c>
      <c r="B84">
        <v>5</v>
      </c>
      <c r="C84">
        <v>1</v>
      </c>
      <c r="D84">
        <v>50</v>
      </c>
      <c r="E84">
        <v>3</v>
      </c>
      <c r="F84">
        <v>150</v>
      </c>
    </row>
    <row r="85" spans="1:6" x14ac:dyDescent="0.4">
      <c r="A85">
        <v>75</v>
      </c>
      <c r="B85">
        <v>7</v>
      </c>
      <c r="C85">
        <v>0.5</v>
      </c>
      <c r="D85">
        <v>50</v>
      </c>
      <c r="E85">
        <v>3</v>
      </c>
      <c r="F85">
        <v>90</v>
      </c>
    </row>
    <row r="86" spans="1:6" x14ac:dyDescent="0.4">
      <c r="A86">
        <v>51</v>
      </c>
      <c r="B86">
        <v>2</v>
      </c>
      <c r="C86">
        <v>0.25</v>
      </c>
      <c r="D86">
        <v>20</v>
      </c>
      <c r="E86">
        <v>3</v>
      </c>
      <c r="F86">
        <v>135</v>
      </c>
    </row>
    <row r="87" spans="1:6" x14ac:dyDescent="0.4">
      <c r="A87">
        <v>69</v>
      </c>
      <c r="B87">
        <v>6</v>
      </c>
      <c r="C87">
        <v>0.25</v>
      </c>
      <c r="D87">
        <v>25</v>
      </c>
      <c r="E87">
        <v>3</v>
      </c>
      <c r="F87">
        <v>90</v>
      </c>
    </row>
    <row r="88" spans="1:6" x14ac:dyDescent="0.4">
      <c r="A88">
        <v>31</v>
      </c>
      <c r="B88">
        <v>5</v>
      </c>
      <c r="C88">
        <v>0.5</v>
      </c>
      <c r="D88">
        <v>100</v>
      </c>
      <c r="E88">
        <v>3</v>
      </c>
      <c r="F88">
        <v>500</v>
      </c>
    </row>
    <row r="89" spans="1:6" x14ac:dyDescent="0.4">
      <c r="A89">
        <v>41</v>
      </c>
      <c r="B89">
        <v>6</v>
      </c>
      <c r="C89">
        <v>0.75</v>
      </c>
      <c r="D89">
        <v>50</v>
      </c>
      <c r="E89">
        <v>2</v>
      </c>
      <c r="F89">
        <v>270</v>
      </c>
    </row>
    <row r="90" spans="1:6" x14ac:dyDescent="0.4">
      <c r="A90">
        <v>47</v>
      </c>
      <c r="B90">
        <v>2</v>
      </c>
      <c r="C90">
        <v>0.25</v>
      </c>
      <c r="D90">
        <v>50</v>
      </c>
      <c r="E90">
        <v>3</v>
      </c>
      <c r="F90">
        <v>180</v>
      </c>
    </row>
    <row r="91" spans="1:6" x14ac:dyDescent="0.4">
      <c r="A91">
        <v>19</v>
      </c>
      <c r="B91">
        <v>5</v>
      </c>
      <c r="C91">
        <v>2</v>
      </c>
      <c r="D91">
        <v>150</v>
      </c>
      <c r="E91">
        <v>2</v>
      </c>
      <c r="F91">
        <v>550</v>
      </c>
    </row>
    <row r="92" spans="1:6" x14ac:dyDescent="0.4">
      <c r="A92">
        <v>59</v>
      </c>
      <c r="B92">
        <v>4</v>
      </c>
      <c r="C92">
        <v>0.5</v>
      </c>
      <c r="D92">
        <v>100</v>
      </c>
      <c r="E92">
        <v>5</v>
      </c>
      <c r="F92">
        <v>90</v>
      </c>
    </row>
    <row r="93" spans="1:6" x14ac:dyDescent="0.4">
      <c r="A93">
        <v>32</v>
      </c>
      <c r="B93">
        <v>6</v>
      </c>
      <c r="C93">
        <v>0.5</v>
      </c>
      <c r="D93">
        <v>30</v>
      </c>
      <c r="E93">
        <v>3</v>
      </c>
      <c r="F93">
        <v>450</v>
      </c>
    </row>
    <row r="94" spans="1:6" x14ac:dyDescent="0.4">
      <c r="A94">
        <v>19</v>
      </c>
      <c r="B94">
        <v>4</v>
      </c>
      <c r="C94">
        <v>1.5</v>
      </c>
      <c r="D94">
        <v>50</v>
      </c>
      <c r="E94">
        <v>2</v>
      </c>
      <c r="F94">
        <v>360</v>
      </c>
    </row>
    <row r="95" spans="1:6" x14ac:dyDescent="0.4">
      <c r="A95">
        <v>27</v>
      </c>
      <c r="B95">
        <v>4</v>
      </c>
      <c r="C95">
        <v>1</v>
      </c>
      <c r="D95">
        <v>50</v>
      </c>
      <c r="E95">
        <v>3</v>
      </c>
      <c r="F95">
        <v>540</v>
      </c>
    </row>
    <row r="96" spans="1:6" x14ac:dyDescent="0.4">
      <c r="A96">
        <v>53</v>
      </c>
      <c r="B96">
        <v>2</v>
      </c>
      <c r="C96">
        <v>0.75</v>
      </c>
      <c r="D96">
        <v>20</v>
      </c>
      <c r="E96">
        <v>4</v>
      </c>
      <c r="F96">
        <v>100</v>
      </c>
    </row>
    <row r="97" spans="1:6" x14ac:dyDescent="0.4">
      <c r="A97">
        <v>20</v>
      </c>
      <c r="B97">
        <v>2</v>
      </c>
      <c r="C97">
        <v>0.5</v>
      </c>
      <c r="D97">
        <v>40</v>
      </c>
      <c r="E97">
        <v>3</v>
      </c>
      <c r="F97">
        <v>560</v>
      </c>
    </row>
    <row r="98" spans="1:6" x14ac:dyDescent="0.4">
      <c r="A98">
        <v>39</v>
      </c>
      <c r="B98">
        <v>9</v>
      </c>
      <c r="C98">
        <v>0.5</v>
      </c>
      <c r="D98">
        <v>120</v>
      </c>
      <c r="E98">
        <v>3</v>
      </c>
      <c r="F98">
        <v>200</v>
      </c>
    </row>
    <row r="99" spans="1:6" x14ac:dyDescent="0.4">
      <c r="A99">
        <v>29</v>
      </c>
      <c r="B99">
        <v>1</v>
      </c>
      <c r="C99">
        <v>1</v>
      </c>
      <c r="D99">
        <v>50</v>
      </c>
      <c r="E99">
        <v>3</v>
      </c>
      <c r="F99">
        <v>360</v>
      </c>
    </row>
    <row r="100" spans="1:6" x14ac:dyDescent="0.4">
      <c r="A100">
        <v>36</v>
      </c>
      <c r="B100">
        <v>4</v>
      </c>
      <c r="C100">
        <v>0.25</v>
      </c>
      <c r="D100">
        <v>150</v>
      </c>
      <c r="E100">
        <v>3</v>
      </c>
      <c r="F100">
        <v>360</v>
      </c>
    </row>
    <row r="101" spans="1:6" x14ac:dyDescent="0.4">
      <c r="A101">
        <v>18</v>
      </c>
      <c r="B101">
        <v>1</v>
      </c>
      <c r="C101">
        <v>2</v>
      </c>
      <c r="D101">
        <v>100</v>
      </c>
      <c r="E101">
        <v>4</v>
      </c>
      <c r="F101">
        <v>450</v>
      </c>
    </row>
    <row r="102" spans="1:6" x14ac:dyDescent="0.4">
      <c r="A102">
        <v>67</v>
      </c>
      <c r="B102">
        <v>4</v>
      </c>
      <c r="C102">
        <v>0.5</v>
      </c>
      <c r="D102">
        <v>25</v>
      </c>
      <c r="E102">
        <v>2</v>
      </c>
      <c r="F102">
        <v>50</v>
      </c>
    </row>
    <row r="103" spans="1:6" x14ac:dyDescent="0.4">
      <c r="A103">
        <v>56</v>
      </c>
      <c r="B103">
        <v>8</v>
      </c>
      <c r="C103">
        <v>0.5</v>
      </c>
      <c r="D103">
        <v>200</v>
      </c>
      <c r="E103">
        <v>2</v>
      </c>
      <c r="F103">
        <v>100</v>
      </c>
    </row>
    <row r="104" spans="1:6" x14ac:dyDescent="0.4">
      <c r="A104">
        <v>74</v>
      </c>
      <c r="B104">
        <v>4</v>
      </c>
      <c r="C104">
        <v>0.25</v>
      </c>
      <c r="D104">
        <v>30</v>
      </c>
      <c r="E104">
        <v>3</v>
      </c>
      <c r="F104">
        <v>90</v>
      </c>
    </row>
    <row r="105" spans="1:6" x14ac:dyDescent="0.4">
      <c r="A105">
        <v>47</v>
      </c>
      <c r="B105">
        <v>2</v>
      </c>
      <c r="C105">
        <v>1</v>
      </c>
      <c r="D105">
        <v>50</v>
      </c>
      <c r="E105">
        <v>2</v>
      </c>
      <c r="F105">
        <v>90</v>
      </c>
    </row>
    <row r="106" spans="1:6" x14ac:dyDescent="0.4">
      <c r="A106">
        <v>61</v>
      </c>
      <c r="B106">
        <v>3</v>
      </c>
      <c r="C106">
        <v>0.5</v>
      </c>
      <c r="D106">
        <v>50</v>
      </c>
      <c r="E106">
        <v>6</v>
      </c>
      <c r="F106">
        <v>95</v>
      </c>
    </row>
    <row r="107" spans="1:6" x14ac:dyDescent="0.4">
      <c r="A107">
        <v>50</v>
      </c>
      <c r="B107">
        <v>4</v>
      </c>
      <c r="C107">
        <v>0.5</v>
      </c>
      <c r="D107">
        <v>31</v>
      </c>
      <c r="E107">
        <v>3</v>
      </c>
      <c r="F107">
        <v>50</v>
      </c>
    </row>
    <row r="108" spans="1:6" x14ac:dyDescent="0.4">
      <c r="A108">
        <v>48</v>
      </c>
      <c r="B108">
        <v>2</v>
      </c>
      <c r="C108">
        <v>0.5</v>
      </c>
      <c r="D108">
        <v>50</v>
      </c>
      <c r="E108">
        <v>5</v>
      </c>
      <c r="F108">
        <v>180</v>
      </c>
    </row>
    <row r="109" spans="1:6" x14ac:dyDescent="0.4">
      <c r="A109">
        <v>31</v>
      </c>
      <c r="B109">
        <v>4</v>
      </c>
      <c r="C109">
        <v>1</v>
      </c>
      <c r="D109">
        <v>20</v>
      </c>
      <c r="E109">
        <v>2</v>
      </c>
      <c r="F109">
        <v>360</v>
      </c>
    </row>
    <row r="110" spans="1:6" x14ac:dyDescent="0.4">
      <c r="A110">
        <v>65</v>
      </c>
      <c r="B110">
        <v>4</v>
      </c>
      <c r="C110">
        <v>0.5</v>
      </c>
      <c r="D110">
        <v>50</v>
      </c>
      <c r="E110">
        <v>3</v>
      </c>
      <c r="F110">
        <v>50</v>
      </c>
    </row>
    <row r="111" spans="1:6" x14ac:dyDescent="0.4">
      <c r="A111">
        <v>47</v>
      </c>
      <c r="B111">
        <v>4</v>
      </c>
      <c r="C111">
        <v>1</v>
      </c>
      <c r="D111">
        <v>100</v>
      </c>
      <c r="E111">
        <v>3</v>
      </c>
      <c r="F111">
        <v>180</v>
      </c>
    </row>
    <row r="112" spans="1:6" x14ac:dyDescent="0.4">
      <c r="A112">
        <v>62</v>
      </c>
      <c r="B112">
        <v>3</v>
      </c>
      <c r="C112">
        <v>0.5</v>
      </c>
      <c r="D112">
        <v>20</v>
      </c>
      <c r="E112">
        <v>2</v>
      </c>
      <c r="F112">
        <v>50</v>
      </c>
    </row>
    <row r="113" spans="1:6" x14ac:dyDescent="0.4">
      <c r="A113">
        <v>39</v>
      </c>
      <c r="B113">
        <v>2</v>
      </c>
      <c r="C113">
        <v>2</v>
      </c>
      <c r="D113">
        <v>50</v>
      </c>
      <c r="E113">
        <v>4</v>
      </c>
      <c r="F113">
        <v>330</v>
      </c>
    </row>
    <row r="114" spans="1:6" x14ac:dyDescent="0.4">
      <c r="A114">
        <v>50</v>
      </c>
      <c r="B114">
        <v>3</v>
      </c>
      <c r="C114">
        <v>0.25</v>
      </c>
      <c r="D114">
        <v>40</v>
      </c>
      <c r="E114">
        <v>4</v>
      </c>
      <c r="F114">
        <v>150</v>
      </c>
    </row>
    <row r="115" spans="1:6" x14ac:dyDescent="0.4">
      <c r="A115">
        <v>31</v>
      </c>
      <c r="B115">
        <v>8</v>
      </c>
      <c r="C115">
        <v>0.5</v>
      </c>
      <c r="D115">
        <v>20</v>
      </c>
      <c r="E115">
        <v>3</v>
      </c>
      <c r="F115">
        <v>540</v>
      </c>
    </row>
    <row r="116" spans="1:6" x14ac:dyDescent="0.4">
      <c r="A116">
        <v>54</v>
      </c>
      <c r="B116">
        <v>6</v>
      </c>
      <c r="C116">
        <v>1</v>
      </c>
      <c r="D116">
        <v>100</v>
      </c>
      <c r="E116">
        <v>2</v>
      </c>
      <c r="F116">
        <v>150</v>
      </c>
    </row>
    <row r="117" spans="1:6" x14ac:dyDescent="0.4">
      <c r="A117">
        <v>47</v>
      </c>
      <c r="B117">
        <v>2</v>
      </c>
      <c r="C117">
        <v>0.75</v>
      </c>
      <c r="D117">
        <v>25</v>
      </c>
      <c r="E117">
        <v>2</v>
      </c>
      <c r="F117">
        <v>100</v>
      </c>
    </row>
    <row r="118" spans="1:6" x14ac:dyDescent="0.4">
      <c r="A118">
        <v>37</v>
      </c>
      <c r="B118">
        <v>6</v>
      </c>
      <c r="C118">
        <v>1</v>
      </c>
      <c r="D118">
        <v>40</v>
      </c>
      <c r="E118">
        <v>3</v>
      </c>
      <c r="F118">
        <v>220</v>
      </c>
    </row>
    <row r="119" spans="1:6" x14ac:dyDescent="0.4">
      <c r="A119">
        <v>45</v>
      </c>
      <c r="B119">
        <v>7</v>
      </c>
      <c r="C119">
        <v>1</v>
      </c>
      <c r="D119">
        <v>100</v>
      </c>
      <c r="E119">
        <v>3</v>
      </c>
      <c r="F119">
        <v>330</v>
      </c>
    </row>
    <row r="120" spans="1:6" x14ac:dyDescent="0.4">
      <c r="A120">
        <v>40</v>
      </c>
      <c r="B120">
        <v>2</v>
      </c>
      <c r="C120">
        <v>0.5</v>
      </c>
      <c r="D120">
        <v>25</v>
      </c>
      <c r="E120">
        <v>5</v>
      </c>
      <c r="F120">
        <v>180</v>
      </c>
    </row>
    <row r="121" spans="1:6" x14ac:dyDescent="0.4">
      <c r="A121">
        <v>43</v>
      </c>
      <c r="B121">
        <v>7</v>
      </c>
      <c r="C121">
        <v>1</v>
      </c>
      <c r="D121">
        <v>50</v>
      </c>
      <c r="E121">
        <v>3</v>
      </c>
      <c r="F121">
        <v>200</v>
      </c>
    </row>
    <row r="122" spans="1:6" x14ac:dyDescent="0.4">
      <c r="A122">
        <v>56</v>
      </c>
      <c r="B122">
        <v>6</v>
      </c>
      <c r="C122">
        <v>0.5</v>
      </c>
      <c r="D122">
        <v>40</v>
      </c>
      <c r="E122">
        <v>5</v>
      </c>
      <c r="F122">
        <v>100</v>
      </c>
    </row>
    <row r="123" spans="1:6" x14ac:dyDescent="0.4">
      <c r="A123">
        <v>57</v>
      </c>
      <c r="B123">
        <v>2</v>
      </c>
      <c r="C123">
        <v>0.25</v>
      </c>
      <c r="D123">
        <v>20</v>
      </c>
      <c r="E123">
        <v>2</v>
      </c>
      <c r="F123">
        <v>90</v>
      </c>
    </row>
    <row r="124" spans="1:6" x14ac:dyDescent="0.4">
      <c r="A124">
        <v>42</v>
      </c>
      <c r="B124">
        <v>3</v>
      </c>
      <c r="C124">
        <v>0.5</v>
      </c>
      <c r="D124">
        <v>30</v>
      </c>
      <c r="E124">
        <v>3</v>
      </c>
      <c r="F124">
        <v>250</v>
      </c>
    </row>
    <row r="125" spans="1:6" x14ac:dyDescent="0.4">
      <c r="A125">
        <v>63</v>
      </c>
      <c r="B125">
        <v>3</v>
      </c>
      <c r="C125">
        <v>0.5</v>
      </c>
      <c r="D125">
        <v>40</v>
      </c>
      <c r="E125">
        <v>2</v>
      </c>
      <c r="F125">
        <v>70</v>
      </c>
    </row>
    <row r="126" spans="1:6" x14ac:dyDescent="0.4">
      <c r="A126">
        <v>62</v>
      </c>
      <c r="B126">
        <v>1</v>
      </c>
      <c r="C126">
        <v>0.5</v>
      </c>
      <c r="D126">
        <v>30</v>
      </c>
      <c r="E126">
        <v>2</v>
      </c>
      <c r="F126">
        <v>100</v>
      </c>
    </row>
    <row r="127" spans="1:6" x14ac:dyDescent="0.4">
      <c r="A127">
        <v>37</v>
      </c>
      <c r="B127">
        <v>5</v>
      </c>
      <c r="C127">
        <v>0.5</v>
      </c>
      <c r="D127">
        <v>350</v>
      </c>
      <c r="E127">
        <v>3</v>
      </c>
      <c r="F127">
        <v>270</v>
      </c>
    </row>
    <row r="128" spans="1:6" x14ac:dyDescent="0.4">
      <c r="A128">
        <v>42</v>
      </c>
      <c r="B128">
        <v>6</v>
      </c>
      <c r="C128">
        <v>1</v>
      </c>
      <c r="D128">
        <v>25</v>
      </c>
      <c r="E128">
        <v>2</v>
      </c>
      <c r="F128">
        <v>270</v>
      </c>
    </row>
    <row r="129" spans="1:6" x14ac:dyDescent="0.4">
      <c r="A129">
        <v>41</v>
      </c>
      <c r="B129">
        <v>5</v>
      </c>
      <c r="C129">
        <v>1</v>
      </c>
      <c r="D129">
        <v>50</v>
      </c>
      <c r="E129">
        <v>2</v>
      </c>
      <c r="F129">
        <v>300</v>
      </c>
    </row>
    <row r="130" spans="1:6" x14ac:dyDescent="0.4">
      <c r="A130">
        <v>19</v>
      </c>
      <c r="B130">
        <v>5</v>
      </c>
      <c r="C130">
        <v>0.5</v>
      </c>
      <c r="D130">
        <v>40</v>
      </c>
      <c r="E130">
        <v>2</v>
      </c>
      <c r="F130">
        <v>540</v>
      </c>
    </row>
    <row r="131" spans="1:6" x14ac:dyDescent="0.4">
      <c r="A131">
        <v>62</v>
      </c>
      <c r="B131">
        <v>5</v>
      </c>
      <c r="C131">
        <v>0.5</v>
      </c>
      <c r="D131">
        <v>250</v>
      </c>
      <c r="E131">
        <v>2</v>
      </c>
      <c r="F131">
        <v>100</v>
      </c>
    </row>
    <row r="132" spans="1:6" x14ac:dyDescent="0.4">
      <c r="A132">
        <v>28</v>
      </c>
      <c r="B132">
        <v>7</v>
      </c>
      <c r="C132">
        <v>1</v>
      </c>
      <c r="D132">
        <v>40</v>
      </c>
      <c r="E132">
        <v>2</v>
      </c>
      <c r="F132">
        <v>540</v>
      </c>
    </row>
    <row r="133" spans="1:6" x14ac:dyDescent="0.4">
      <c r="A133">
        <v>50</v>
      </c>
      <c r="B133">
        <v>5</v>
      </c>
      <c r="C133">
        <v>0.5</v>
      </c>
      <c r="D133">
        <v>20</v>
      </c>
      <c r="E133">
        <v>3</v>
      </c>
      <c r="F133">
        <v>135</v>
      </c>
    </row>
    <row r="134" spans="1:6" x14ac:dyDescent="0.4">
      <c r="A134">
        <v>28</v>
      </c>
      <c r="B134">
        <v>5</v>
      </c>
      <c r="C134">
        <v>1</v>
      </c>
      <c r="D134">
        <v>30</v>
      </c>
      <c r="E134">
        <v>4</v>
      </c>
      <c r="F134">
        <v>360</v>
      </c>
    </row>
    <row r="135" spans="1:6" x14ac:dyDescent="0.4">
      <c r="A135">
        <v>63</v>
      </c>
      <c r="B135">
        <v>5</v>
      </c>
      <c r="C135">
        <v>1</v>
      </c>
      <c r="D135">
        <v>50</v>
      </c>
      <c r="E135">
        <v>3</v>
      </c>
      <c r="F135">
        <v>50</v>
      </c>
    </row>
    <row r="136" spans="1:6" x14ac:dyDescent="0.4">
      <c r="A136">
        <v>31</v>
      </c>
      <c r="B136">
        <v>4</v>
      </c>
      <c r="C136">
        <v>0.5</v>
      </c>
      <c r="D136">
        <v>20</v>
      </c>
      <c r="E136">
        <v>3</v>
      </c>
      <c r="F136">
        <v>450</v>
      </c>
    </row>
    <row r="137" spans="1:6" x14ac:dyDescent="0.4">
      <c r="A137">
        <v>48</v>
      </c>
      <c r="B137">
        <v>6</v>
      </c>
      <c r="C137">
        <v>0.5</v>
      </c>
      <c r="D137">
        <v>200</v>
      </c>
      <c r="E137">
        <v>3</v>
      </c>
      <c r="F137">
        <v>180</v>
      </c>
    </row>
    <row r="138" spans="1:6" x14ac:dyDescent="0.4">
      <c r="A138">
        <v>43</v>
      </c>
      <c r="B138">
        <v>5</v>
      </c>
      <c r="C138">
        <v>2.5</v>
      </c>
      <c r="D138">
        <v>150</v>
      </c>
      <c r="E138">
        <v>2</v>
      </c>
      <c r="F138">
        <v>360</v>
      </c>
    </row>
    <row r="139" spans="1:6" x14ac:dyDescent="0.4">
      <c r="A139">
        <v>28</v>
      </c>
      <c r="B139">
        <v>2</v>
      </c>
      <c r="C139">
        <v>1</v>
      </c>
      <c r="D139">
        <v>25</v>
      </c>
      <c r="E139">
        <v>4</v>
      </c>
      <c r="F139">
        <v>360</v>
      </c>
    </row>
    <row r="140" spans="1:6" x14ac:dyDescent="0.4">
      <c r="A140">
        <v>31</v>
      </c>
      <c r="B140">
        <v>2</v>
      </c>
      <c r="C140">
        <v>1</v>
      </c>
      <c r="D140">
        <v>20</v>
      </c>
      <c r="E140">
        <v>2</v>
      </c>
      <c r="F140">
        <v>360</v>
      </c>
    </row>
    <row r="141" spans="1:6" x14ac:dyDescent="0.4">
      <c r="A141">
        <v>39</v>
      </c>
      <c r="B141">
        <v>3</v>
      </c>
      <c r="C141">
        <v>2</v>
      </c>
      <c r="D141">
        <v>50</v>
      </c>
      <c r="E141">
        <v>3</v>
      </c>
      <c r="F141">
        <v>200</v>
      </c>
    </row>
    <row r="142" spans="1:6" x14ac:dyDescent="0.4">
      <c r="A142">
        <v>62</v>
      </c>
      <c r="B142">
        <v>6</v>
      </c>
      <c r="C142">
        <v>0.5</v>
      </c>
      <c r="D142">
        <v>100</v>
      </c>
      <c r="E142">
        <v>2</v>
      </c>
      <c r="F142">
        <v>75</v>
      </c>
    </row>
    <row r="143" spans="1:6" x14ac:dyDescent="0.4">
      <c r="A143">
        <v>48</v>
      </c>
      <c r="B143">
        <v>7</v>
      </c>
      <c r="C143">
        <v>1</v>
      </c>
      <c r="D143">
        <v>25</v>
      </c>
      <c r="E143">
        <v>3</v>
      </c>
      <c r="F143">
        <v>150</v>
      </c>
    </row>
    <row r="144" spans="1:6" x14ac:dyDescent="0.4">
      <c r="A144">
        <v>64</v>
      </c>
      <c r="B144">
        <v>3</v>
      </c>
      <c r="C144">
        <v>0.25</v>
      </c>
      <c r="D144">
        <v>40</v>
      </c>
      <c r="E144">
        <v>3</v>
      </c>
      <c r="F144">
        <v>80</v>
      </c>
    </row>
    <row r="145" spans="1:6" x14ac:dyDescent="0.4">
      <c r="A145">
        <v>45</v>
      </c>
      <c r="B145">
        <v>2</v>
      </c>
      <c r="C145">
        <v>0.25</v>
      </c>
      <c r="D145">
        <v>100</v>
      </c>
      <c r="E145">
        <v>3</v>
      </c>
      <c r="F145">
        <v>270</v>
      </c>
    </row>
    <row r="146" spans="1:6" x14ac:dyDescent="0.4">
      <c r="A146">
        <v>29</v>
      </c>
      <c r="B146">
        <v>6</v>
      </c>
      <c r="C146">
        <v>0.5</v>
      </c>
      <c r="D146">
        <v>200</v>
      </c>
      <c r="E146">
        <v>5</v>
      </c>
      <c r="F146">
        <v>450</v>
      </c>
    </row>
    <row r="147" spans="1:6" x14ac:dyDescent="0.4">
      <c r="A147">
        <v>53</v>
      </c>
      <c r="B147">
        <v>5</v>
      </c>
      <c r="C147">
        <v>1</v>
      </c>
      <c r="D147">
        <v>50</v>
      </c>
      <c r="E147">
        <v>2</v>
      </c>
      <c r="F147">
        <v>180</v>
      </c>
    </row>
    <row r="148" spans="1:6" x14ac:dyDescent="0.4">
      <c r="A148">
        <v>32</v>
      </c>
      <c r="B148">
        <v>4</v>
      </c>
      <c r="C148">
        <v>0.5</v>
      </c>
      <c r="D148">
        <v>25</v>
      </c>
      <c r="E148">
        <v>3</v>
      </c>
      <c r="F148">
        <v>540</v>
      </c>
    </row>
    <row r="149" spans="1:6" x14ac:dyDescent="0.4">
      <c r="A149">
        <v>46</v>
      </c>
      <c r="B149">
        <v>4</v>
      </c>
      <c r="C149">
        <v>0.5</v>
      </c>
      <c r="D149">
        <v>40</v>
      </c>
      <c r="E149">
        <v>2</v>
      </c>
      <c r="F149">
        <v>180</v>
      </c>
    </row>
    <row r="150" spans="1:6" x14ac:dyDescent="0.4">
      <c r="A150">
        <v>32</v>
      </c>
      <c r="B150">
        <v>4</v>
      </c>
      <c r="C150">
        <v>0.5</v>
      </c>
      <c r="D150">
        <v>20</v>
      </c>
      <c r="E150">
        <v>4</v>
      </c>
      <c r="F150">
        <v>360</v>
      </c>
    </row>
    <row r="151" spans="1:6" x14ac:dyDescent="0.4">
      <c r="A151">
        <v>52</v>
      </c>
      <c r="B151">
        <v>2</v>
      </c>
      <c r="C151">
        <v>1</v>
      </c>
      <c r="D151">
        <v>50</v>
      </c>
      <c r="E151">
        <v>3</v>
      </c>
      <c r="F151">
        <v>180</v>
      </c>
    </row>
    <row r="152" spans="1:6" x14ac:dyDescent="0.4">
      <c r="A152">
        <v>39</v>
      </c>
      <c r="B152">
        <v>3</v>
      </c>
      <c r="C152">
        <v>0.5</v>
      </c>
      <c r="D152">
        <v>100</v>
      </c>
      <c r="E152">
        <v>3</v>
      </c>
      <c r="F152">
        <v>200</v>
      </c>
    </row>
    <row r="153" spans="1:6" x14ac:dyDescent="0.4">
      <c r="A153">
        <v>18</v>
      </c>
      <c r="B153">
        <v>6</v>
      </c>
      <c r="C153">
        <v>0.25</v>
      </c>
      <c r="D153">
        <v>50</v>
      </c>
      <c r="E153">
        <v>3</v>
      </c>
      <c r="F153">
        <v>360</v>
      </c>
    </row>
    <row r="154" spans="1:6" x14ac:dyDescent="0.4">
      <c r="A154">
        <v>33</v>
      </c>
      <c r="B154">
        <v>5</v>
      </c>
      <c r="C154">
        <v>0.75</v>
      </c>
      <c r="D154">
        <v>25</v>
      </c>
      <c r="E154">
        <v>3</v>
      </c>
      <c r="F154">
        <v>450</v>
      </c>
    </row>
    <row r="155" spans="1:6" x14ac:dyDescent="0.4">
      <c r="A155">
        <v>47</v>
      </c>
      <c r="B155">
        <v>5</v>
      </c>
      <c r="C155">
        <v>1</v>
      </c>
      <c r="D155">
        <v>40</v>
      </c>
      <c r="E155">
        <v>3</v>
      </c>
      <c r="F155">
        <v>150</v>
      </c>
    </row>
    <row r="156" spans="1:6" x14ac:dyDescent="0.4">
      <c r="A156">
        <v>44</v>
      </c>
      <c r="B156">
        <v>4</v>
      </c>
      <c r="C156">
        <v>1.5</v>
      </c>
      <c r="D156">
        <v>100</v>
      </c>
      <c r="E156">
        <v>2</v>
      </c>
      <c r="F156">
        <v>330</v>
      </c>
    </row>
    <row r="157" spans="1:6" x14ac:dyDescent="0.4">
      <c r="A157">
        <v>33</v>
      </c>
      <c r="B157">
        <v>6</v>
      </c>
      <c r="C157">
        <v>0.5</v>
      </c>
      <c r="D157">
        <v>100</v>
      </c>
      <c r="E157">
        <v>3</v>
      </c>
      <c r="F157">
        <v>540</v>
      </c>
    </row>
    <row r="158" spans="1:6" x14ac:dyDescent="0.4">
      <c r="A158">
        <v>35</v>
      </c>
      <c r="B158">
        <v>4</v>
      </c>
      <c r="C158">
        <v>0.25</v>
      </c>
      <c r="D158">
        <v>20</v>
      </c>
      <c r="E158">
        <v>2</v>
      </c>
      <c r="F158">
        <v>500</v>
      </c>
    </row>
    <row r="159" spans="1:6" x14ac:dyDescent="0.4">
      <c r="A159">
        <v>43</v>
      </c>
      <c r="B159">
        <v>5</v>
      </c>
      <c r="C159">
        <v>1.5</v>
      </c>
      <c r="D159">
        <v>50</v>
      </c>
      <c r="E159">
        <v>2</v>
      </c>
      <c r="F159">
        <v>270</v>
      </c>
    </row>
    <row r="160" spans="1:6" x14ac:dyDescent="0.4">
      <c r="A160">
        <v>34</v>
      </c>
      <c r="B160">
        <v>6</v>
      </c>
      <c r="C160">
        <v>1</v>
      </c>
      <c r="D160">
        <v>50</v>
      </c>
      <c r="E160">
        <v>2</v>
      </c>
      <c r="F160">
        <v>450</v>
      </c>
    </row>
    <row r="161" spans="1:6" x14ac:dyDescent="0.4">
      <c r="A161">
        <v>49</v>
      </c>
      <c r="B161">
        <v>6</v>
      </c>
      <c r="C161">
        <v>0.5</v>
      </c>
      <c r="D161">
        <v>75</v>
      </c>
      <c r="E161">
        <v>2</v>
      </c>
      <c r="F161">
        <v>150</v>
      </c>
    </row>
    <row r="162" spans="1:6" x14ac:dyDescent="0.4">
      <c r="A162">
        <v>44</v>
      </c>
      <c r="B162">
        <v>6</v>
      </c>
      <c r="C162">
        <v>0.5</v>
      </c>
      <c r="D162">
        <v>20</v>
      </c>
      <c r="E162">
        <v>2</v>
      </c>
      <c r="F162">
        <v>180</v>
      </c>
    </row>
    <row r="163" spans="1:6" x14ac:dyDescent="0.4">
      <c r="A163">
        <v>35</v>
      </c>
      <c r="B163">
        <v>5</v>
      </c>
      <c r="C163">
        <v>1</v>
      </c>
      <c r="D163">
        <v>50</v>
      </c>
      <c r="E163">
        <v>3</v>
      </c>
      <c r="F163">
        <v>400</v>
      </c>
    </row>
    <row r="164" spans="1:6" x14ac:dyDescent="0.4">
      <c r="A164">
        <v>50</v>
      </c>
      <c r="B164">
        <v>5</v>
      </c>
      <c r="C164">
        <v>1</v>
      </c>
      <c r="D164">
        <v>50</v>
      </c>
      <c r="E164">
        <v>3</v>
      </c>
      <c r="F164">
        <v>90</v>
      </c>
    </row>
    <row r="165" spans="1:6" x14ac:dyDescent="0.4">
      <c r="A165">
        <v>19</v>
      </c>
      <c r="B165">
        <v>6</v>
      </c>
      <c r="C165">
        <v>1</v>
      </c>
      <c r="D165">
        <v>50</v>
      </c>
      <c r="E165">
        <v>3</v>
      </c>
      <c r="F165">
        <v>360</v>
      </c>
    </row>
    <row r="166" spans="1:6" x14ac:dyDescent="0.4">
      <c r="A166">
        <v>55</v>
      </c>
      <c r="B166">
        <v>1</v>
      </c>
      <c r="C166">
        <v>0.5</v>
      </c>
      <c r="D166">
        <v>200</v>
      </c>
      <c r="E166">
        <v>2</v>
      </c>
      <c r="F166">
        <v>180</v>
      </c>
    </row>
    <row r="167" spans="1:6" x14ac:dyDescent="0.4">
      <c r="A167">
        <v>29</v>
      </c>
      <c r="B167">
        <v>4</v>
      </c>
      <c r="C167">
        <v>2</v>
      </c>
      <c r="D167">
        <v>60</v>
      </c>
      <c r="E167">
        <v>2</v>
      </c>
      <c r="F167">
        <v>540</v>
      </c>
    </row>
    <row r="168" spans="1:6" x14ac:dyDescent="0.4">
      <c r="A168">
        <v>34</v>
      </c>
      <c r="B168">
        <v>4</v>
      </c>
      <c r="C168">
        <v>2</v>
      </c>
      <c r="D168">
        <v>100</v>
      </c>
      <c r="E168">
        <v>5</v>
      </c>
      <c r="F168">
        <v>450</v>
      </c>
    </row>
    <row r="169" spans="1:6" x14ac:dyDescent="0.4">
      <c r="A169">
        <v>45</v>
      </c>
      <c r="B169">
        <v>7</v>
      </c>
      <c r="C169">
        <v>0.25</v>
      </c>
      <c r="D169">
        <v>45</v>
      </c>
      <c r="E169">
        <v>4</v>
      </c>
      <c r="F169">
        <v>270</v>
      </c>
    </row>
    <row r="170" spans="1:6" x14ac:dyDescent="0.4">
      <c r="A170">
        <v>62</v>
      </c>
      <c r="B170">
        <v>2</v>
      </c>
      <c r="C170">
        <v>0.5</v>
      </c>
      <c r="D170">
        <v>20</v>
      </c>
      <c r="E170">
        <v>2</v>
      </c>
      <c r="F170">
        <v>50</v>
      </c>
    </row>
    <row r="171" spans="1:6" x14ac:dyDescent="0.4">
      <c r="A171">
        <v>59</v>
      </c>
      <c r="B171">
        <v>3</v>
      </c>
      <c r="C171">
        <v>0.3</v>
      </c>
      <c r="D171">
        <v>50</v>
      </c>
      <c r="E171">
        <v>3</v>
      </c>
      <c r="F171">
        <v>50</v>
      </c>
    </row>
    <row r="172" spans="1:6" x14ac:dyDescent="0.4">
      <c r="A172">
        <v>48</v>
      </c>
      <c r="B172">
        <v>4</v>
      </c>
      <c r="C172">
        <v>1.5</v>
      </c>
      <c r="D172">
        <v>150</v>
      </c>
      <c r="E172">
        <v>2</v>
      </c>
      <c r="F172">
        <v>180</v>
      </c>
    </row>
    <row r="173" spans="1:6" x14ac:dyDescent="0.4">
      <c r="A173">
        <v>57</v>
      </c>
      <c r="B173">
        <v>1</v>
      </c>
      <c r="C173">
        <v>0.5</v>
      </c>
      <c r="D173">
        <v>20</v>
      </c>
      <c r="E173">
        <v>4</v>
      </c>
      <c r="F173">
        <v>50</v>
      </c>
    </row>
    <row r="174" spans="1:6" x14ac:dyDescent="0.4">
      <c r="A174">
        <v>57</v>
      </c>
      <c r="B174">
        <v>1</v>
      </c>
      <c r="C174">
        <v>0.5</v>
      </c>
      <c r="D174">
        <v>90</v>
      </c>
      <c r="E174">
        <v>2</v>
      </c>
      <c r="F174">
        <v>90</v>
      </c>
    </row>
    <row r="175" spans="1:6" x14ac:dyDescent="0.4">
      <c r="A175">
        <v>21</v>
      </c>
      <c r="B175">
        <v>4</v>
      </c>
      <c r="C175">
        <v>1.5</v>
      </c>
      <c r="D175">
        <v>50</v>
      </c>
      <c r="E175">
        <v>3</v>
      </c>
      <c r="F175">
        <v>450</v>
      </c>
    </row>
    <row r="176" spans="1:6" x14ac:dyDescent="0.4">
      <c r="A176">
        <v>25</v>
      </c>
      <c r="B176">
        <v>6</v>
      </c>
      <c r="C176">
        <v>0.5</v>
      </c>
      <c r="D176">
        <v>20</v>
      </c>
      <c r="E176">
        <v>2</v>
      </c>
      <c r="F176">
        <v>450</v>
      </c>
    </row>
    <row r="177" spans="1:6" x14ac:dyDescent="0.4">
      <c r="A177">
        <v>54</v>
      </c>
      <c r="B177">
        <v>2</v>
      </c>
      <c r="C177">
        <v>0.5</v>
      </c>
      <c r="D177">
        <v>20</v>
      </c>
      <c r="E177">
        <v>3</v>
      </c>
      <c r="F177">
        <v>100</v>
      </c>
    </row>
    <row r="178" spans="1:6" x14ac:dyDescent="0.4">
      <c r="A178">
        <v>51</v>
      </c>
      <c r="B178">
        <v>4</v>
      </c>
      <c r="C178">
        <v>0.5</v>
      </c>
      <c r="D178">
        <v>50</v>
      </c>
      <c r="E178">
        <v>3</v>
      </c>
      <c r="F178">
        <v>180</v>
      </c>
    </row>
    <row r="179" spans="1:6" x14ac:dyDescent="0.4">
      <c r="A179">
        <v>40</v>
      </c>
      <c r="B179">
        <v>7</v>
      </c>
      <c r="C179">
        <v>1.5</v>
      </c>
      <c r="D179">
        <v>300</v>
      </c>
      <c r="E179">
        <v>3</v>
      </c>
      <c r="F179">
        <v>200</v>
      </c>
    </row>
    <row r="180" spans="1:6" x14ac:dyDescent="0.4">
      <c r="A180">
        <v>36</v>
      </c>
      <c r="B180">
        <v>5</v>
      </c>
      <c r="C180">
        <v>1</v>
      </c>
      <c r="D180">
        <v>20</v>
      </c>
      <c r="E180">
        <v>2</v>
      </c>
      <c r="F180">
        <v>180</v>
      </c>
    </row>
    <row r="181" spans="1:6" x14ac:dyDescent="0.4">
      <c r="A181">
        <v>54</v>
      </c>
      <c r="B181">
        <v>6</v>
      </c>
      <c r="C181">
        <v>1</v>
      </c>
      <c r="D181">
        <v>50</v>
      </c>
      <c r="E181">
        <v>2</v>
      </c>
      <c r="F181">
        <v>110</v>
      </c>
    </row>
    <row r="182" spans="1:6" x14ac:dyDescent="0.4">
      <c r="A182">
        <v>36</v>
      </c>
      <c r="B182">
        <v>2</v>
      </c>
      <c r="C182">
        <v>0.5</v>
      </c>
      <c r="D182">
        <v>25</v>
      </c>
      <c r="E182">
        <v>5</v>
      </c>
      <c r="F182">
        <v>200</v>
      </c>
    </row>
    <row r="183" spans="1:6" x14ac:dyDescent="0.4">
      <c r="A183">
        <v>54</v>
      </c>
      <c r="B183">
        <v>5</v>
      </c>
      <c r="C183">
        <v>1</v>
      </c>
      <c r="D183">
        <v>30</v>
      </c>
      <c r="E183">
        <v>4</v>
      </c>
      <c r="F183">
        <v>180</v>
      </c>
    </row>
    <row r="184" spans="1:6" x14ac:dyDescent="0.4">
      <c r="A184">
        <v>38</v>
      </c>
      <c r="B184">
        <v>4</v>
      </c>
      <c r="C184">
        <v>1</v>
      </c>
      <c r="D184">
        <v>100</v>
      </c>
      <c r="E184">
        <v>2</v>
      </c>
      <c r="F184">
        <v>250</v>
      </c>
    </row>
    <row r="185" spans="1:6" x14ac:dyDescent="0.4">
      <c r="A185">
        <v>49</v>
      </c>
      <c r="B185">
        <v>6</v>
      </c>
      <c r="C185">
        <v>0.5</v>
      </c>
      <c r="D185">
        <v>50</v>
      </c>
      <c r="E185">
        <v>3</v>
      </c>
      <c r="F185">
        <v>150</v>
      </c>
    </row>
    <row r="186" spans="1:6" x14ac:dyDescent="0.4">
      <c r="A186">
        <v>44</v>
      </c>
      <c r="B186">
        <v>3</v>
      </c>
      <c r="C186">
        <v>2</v>
      </c>
      <c r="D186">
        <v>50</v>
      </c>
      <c r="E186">
        <v>4</v>
      </c>
      <c r="F186">
        <v>330</v>
      </c>
    </row>
    <row r="187" spans="1:6" x14ac:dyDescent="0.4">
      <c r="A187">
        <v>57</v>
      </c>
      <c r="B187">
        <v>5</v>
      </c>
      <c r="C187">
        <v>0.5</v>
      </c>
      <c r="D187">
        <v>25</v>
      </c>
      <c r="E187">
        <v>3</v>
      </c>
      <c r="F187">
        <v>100</v>
      </c>
    </row>
    <row r="188" spans="1:6" x14ac:dyDescent="0.4">
      <c r="A188">
        <v>65</v>
      </c>
      <c r="B188">
        <v>5</v>
      </c>
      <c r="C188">
        <v>0.5</v>
      </c>
      <c r="D188">
        <v>35</v>
      </c>
      <c r="E188">
        <v>2</v>
      </c>
      <c r="F188">
        <v>80</v>
      </c>
    </row>
    <row r="189" spans="1:6" x14ac:dyDescent="0.4">
      <c r="A189">
        <v>39</v>
      </c>
      <c r="B189">
        <v>7</v>
      </c>
      <c r="C189">
        <v>2</v>
      </c>
      <c r="D189">
        <v>50</v>
      </c>
      <c r="E189">
        <v>2</v>
      </c>
      <c r="F189">
        <v>300</v>
      </c>
    </row>
    <row r="190" spans="1:6" x14ac:dyDescent="0.4">
      <c r="A190">
        <v>71</v>
      </c>
      <c r="B190">
        <v>6</v>
      </c>
      <c r="C190">
        <v>0.5</v>
      </c>
      <c r="D190">
        <v>30</v>
      </c>
      <c r="E190">
        <v>2</v>
      </c>
      <c r="F190">
        <v>50</v>
      </c>
    </row>
    <row r="191" spans="1:6" x14ac:dyDescent="0.4">
      <c r="A191">
        <v>52</v>
      </c>
      <c r="B191">
        <v>6</v>
      </c>
      <c r="C191">
        <v>1</v>
      </c>
      <c r="D191">
        <v>25</v>
      </c>
      <c r="E191">
        <v>2</v>
      </c>
      <c r="F191">
        <v>180</v>
      </c>
    </row>
    <row r="192" spans="1:6" x14ac:dyDescent="0.4">
      <c r="A192">
        <v>51</v>
      </c>
      <c r="B192">
        <v>2</v>
      </c>
      <c r="C192">
        <v>0.25</v>
      </c>
      <c r="D192">
        <v>40</v>
      </c>
      <c r="E192">
        <v>2</v>
      </c>
      <c r="F192">
        <v>150</v>
      </c>
    </row>
    <row r="193" spans="1:6" x14ac:dyDescent="0.4">
      <c r="A193">
        <v>20</v>
      </c>
      <c r="B193">
        <v>6</v>
      </c>
      <c r="C193">
        <v>1</v>
      </c>
      <c r="D193">
        <v>30</v>
      </c>
      <c r="E193">
        <v>3</v>
      </c>
      <c r="F193">
        <v>500</v>
      </c>
    </row>
    <row r="194" spans="1:6" x14ac:dyDescent="0.4">
      <c r="A194">
        <v>61</v>
      </c>
      <c r="B194">
        <v>3</v>
      </c>
      <c r="C194">
        <v>0.5</v>
      </c>
      <c r="D194">
        <v>20</v>
      </c>
      <c r="E194">
        <v>3</v>
      </c>
      <c r="F194">
        <v>90</v>
      </c>
    </row>
    <row r="195" spans="1:6" x14ac:dyDescent="0.4">
      <c r="A195">
        <v>55</v>
      </c>
      <c r="B195">
        <v>5</v>
      </c>
      <c r="C195">
        <v>0.3</v>
      </c>
      <c r="D195">
        <v>25</v>
      </c>
      <c r="E195">
        <v>3</v>
      </c>
      <c r="F195">
        <v>100</v>
      </c>
    </row>
    <row r="196" spans="1:6" x14ac:dyDescent="0.4">
      <c r="A196">
        <v>29</v>
      </c>
      <c r="B196">
        <v>8</v>
      </c>
      <c r="C196">
        <v>0.5</v>
      </c>
      <c r="D196">
        <v>20</v>
      </c>
      <c r="E196">
        <v>3</v>
      </c>
      <c r="F196">
        <v>360</v>
      </c>
    </row>
    <row r="197" spans="1:6" x14ac:dyDescent="0.4">
      <c r="A197">
        <v>41</v>
      </c>
      <c r="B197">
        <v>4</v>
      </c>
      <c r="C197">
        <v>1</v>
      </c>
      <c r="D197">
        <v>50</v>
      </c>
      <c r="E197">
        <v>3</v>
      </c>
      <c r="F197">
        <v>250</v>
      </c>
    </row>
    <row r="198" spans="1:6" x14ac:dyDescent="0.4">
      <c r="A198">
        <v>51</v>
      </c>
      <c r="B198">
        <v>7</v>
      </c>
      <c r="C198">
        <v>0.25</v>
      </c>
      <c r="D198">
        <v>100</v>
      </c>
      <c r="E198">
        <v>3</v>
      </c>
      <c r="F198">
        <v>180</v>
      </c>
    </row>
    <row r="199" spans="1:6" x14ac:dyDescent="0.4">
      <c r="A199">
        <v>38</v>
      </c>
      <c r="B199">
        <v>6</v>
      </c>
      <c r="C199">
        <v>0.5</v>
      </c>
      <c r="D199">
        <v>80</v>
      </c>
      <c r="E199">
        <v>2</v>
      </c>
      <c r="F199">
        <v>200</v>
      </c>
    </row>
    <row r="200" spans="1:6" x14ac:dyDescent="0.4">
      <c r="A200">
        <v>44</v>
      </c>
      <c r="B200">
        <v>6</v>
      </c>
      <c r="C200">
        <v>1</v>
      </c>
      <c r="D200">
        <v>90</v>
      </c>
      <c r="E200">
        <v>3</v>
      </c>
      <c r="F200">
        <v>360</v>
      </c>
    </row>
    <row r="201" spans="1:6" x14ac:dyDescent="0.4">
      <c r="A201">
        <v>26</v>
      </c>
      <c r="B201">
        <v>6</v>
      </c>
      <c r="C201">
        <v>0.5</v>
      </c>
      <c r="D201">
        <v>20</v>
      </c>
      <c r="E201">
        <v>2</v>
      </c>
      <c r="F201">
        <v>360</v>
      </c>
    </row>
    <row r="202" spans="1:6" x14ac:dyDescent="0.4">
      <c r="A202">
        <v>65</v>
      </c>
      <c r="B202">
        <v>1</v>
      </c>
      <c r="C202">
        <v>0.75</v>
      </c>
      <c r="D202">
        <v>50</v>
      </c>
      <c r="E202">
        <v>3</v>
      </c>
      <c r="F202">
        <v>90</v>
      </c>
    </row>
    <row r="203" spans="1:6" x14ac:dyDescent="0.4">
      <c r="A203">
        <v>78</v>
      </c>
      <c r="B203">
        <v>5</v>
      </c>
      <c r="C203">
        <v>0.25</v>
      </c>
      <c r="D203">
        <v>25</v>
      </c>
      <c r="E203">
        <v>3</v>
      </c>
      <c r="F203">
        <v>50</v>
      </c>
    </row>
    <row r="204" spans="1:6" x14ac:dyDescent="0.4">
      <c r="A204">
        <v>46</v>
      </c>
      <c r="B204">
        <v>5</v>
      </c>
      <c r="C204">
        <v>2</v>
      </c>
      <c r="D204">
        <v>100</v>
      </c>
      <c r="E204">
        <v>2</v>
      </c>
      <c r="F204">
        <v>180</v>
      </c>
    </row>
    <row r="205" spans="1:6" x14ac:dyDescent="0.4">
      <c r="A205">
        <v>38</v>
      </c>
      <c r="B205">
        <v>5</v>
      </c>
      <c r="C205">
        <v>1</v>
      </c>
      <c r="D205">
        <v>75</v>
      </c>
      <c r="E205">
        <v>2</v>
      </c>
      <c r="F205">
        <v>360</v>
      </c>
    </row>
    <row r="206" spans="1:6" x14ac:dyDescent="0.4">
      <c r="A206">
        <v>37</v>
      </c>
      <c r="B206">
        <v>7</v>
      </c>
      <c r="C206">
        <v>0.25</v>
      </c>
      <c r="D206">
        <v>50</v>
      </c>
      <c r="E206">
        <v>2</v>
      </c>
      <c r="F206">
        <v>270</v>
      </c>
    </row>
    <row r="207" spans="1:6" x14ac:dyDescent="0.4">
      <c r="A207">
        <v>58</v>
      </c>
      <c r="B207">
        <v>6</v>
      </c>
      <c r="C207">
        <v>0.25</v>
      </c>
      <c r="D207">
        <v>150</v>
      </c>
      <c r="E207">
        <v>4</v>
      </c>
      <c r="F207">
        <v>100</v>
      </c>
    </row>
    <row r="208" spans="1:6" x14ac:dyDescent="0.4">
      <c r="A208">
        <v>24</v>
      </c>
      <c r="B208">
        <v>2</v>
      </c>
      <c r="C208">
        <v>0.5</v>
      </c>
      <c r="D208">
        <v>25</v>
      </c>
      <c r="E208">
        <v>4</v>
      </c>
      <c r="F208">
        <v>450</v>
      </c>
    </row>
    <row r="209" spans="1:6" x14ac:dyDescent="0.4">
      <c r="A209">
        <v>51</v>
      </c>
      <c r="B209">
        <v>3</v>
      </c>
      <c r="C209">
        <v>1</v>
      </c>
      <c r="D209">
        <v>100</v>
      </c>
      <c r="E209">
        <v>2</v>
      </c>
      <c r="F209">
        <v>180</v>
      </c>
    </row>
    <row r="210" spans="1:6" x14ac:dyDescent="0.4">
      <c r="A210">
        <v>38</v>
      </c>
      <c r="B210">
        <v>4</v>
      </c>
      <c r="C210">
        <v>0.5</v>
      </c>
      <c r="D210">
        <v>40</v>
      </c>
      <c r="E210">
        <v>2</v>
      </c>
      <c r="F210">
        <v>270</v>
      </c>
    </row>
    <row r="211" spans="1:6" x14ac:dyDescent="0.4">
      <c r="A211">
        <v>64</v>
      </c>
      <c r="B211">
        <v>1</v>
      </c>
      <c r="C211">
        <v>0.5</v>
      </c>
      <c r="D211">
        <v>48</v>
      </c>
      <c r="E211">
        <v>2</v>
      </c>
      <c r="F211">
        <v>75</v>
      </c>
    </row>
    <row r="212" spans="1:6" x14ac:dyDescent="0.4">
      <c r="A212">
        <v>50</v>
      </c>
      <c r="B212">
        <v>4</v>
      </c>
      <c r="C212">
        <v>0.5</v>
      </c>
      <c r="D212">
        <v>40</v>
      </c>
      <c r="E212">
        <v>3</v>
      </c>
      <c r="F212">
        <v>180</v>
      </c>
    </row>
    <row r="213" spans="1:6" x14ac:dyDescent="0.4">
      <c r="A213">
        <v>53</v>
      </c>
      <c r="B213">
        <v>5</v>
      </c>
      <c r="C213">
        <v>1</v>
      </c>
      <c r="D213">
        <v>120</v>
      </c>
      <c r="E213">
        <v>3</v>
      </c>
      <c r="F213">
        <v>180</v>
      </c>
    </row>
    <row r="214" spans="1:6" x14ac:dyDescent="0.4">
      <c r="A214">
        <v>50</v>
      </c>
      <c r="B214">
        <v>3</v>
      </c>
      <c r="C214">
        <v>0.5</v>
      </c>
      <c r="D214">
        <v>50</v>
      </c>
      <c r="E214">
        <v>2</v>
      </c>
      <c r="F214">
        <v>180</v>
      </c>
    </row>
    <row r="215" spans="1:6" x14ac:dyDescent="0.4">
      <c r="A215">
        <v>37</v>
      </c>
      <c r="B215">
        <v>6</v>
      </c>
      <c r="C215">
        <v>1</v>
      </c>
      <c r="D215">
        <v>100</v>
      </c>
      <c r="E215">
        <v>2</v>
      </c>
      <c r="F215">
        <v>220</v>
      </c>
    </row>
    <row r="216" spans="1:6" x14ac:dyDescent="0.4">
      <c r="A216">
        <v>41</v>
      </c>
      <c r="B216">
        <v>6</v>
      </c>
      <c r="C216">
        <v>0.5</v>
      </c>
      <c r="D216">
        <v>50</v>
      </c>
      <c r="E216">
        <v>2</v>
      </c>
      <c r="F216">
        <v>270</v>
      </c>
    </row>
    <row r="217" spans="1:6" x14ac:dyDescent="0.4">
      <c r="A217">
        <v>34</v>
      </c>
      <c r="B217">
        <v>5</v>
      </c>
      <c r="C217">
        <v>0.75</v>
      </c>
      <c r="D217">
        <v>25</v>
      </c>
      <c r="E217">
        <v>2</v>
      </c>
      <c r="F217">
        <v>360</v>
      </c>
    </row>
    <row r="218" spans="1:6" x14ac:dyDescent="0.4">
      <c r="A218">
        <v>39</v>
      </c>
      <c r="B218">
        <v>5</v>
      </c>
      <c r="C218">
        <v>0.25</v>
      </c>
      <c r="D218">
        <v>20</v>
      </c>
      <c r="E218">
        <v>2</v>
      </c>
      <c r="F218">
        <v>270</v>
      </c>
    </row>
    <row r="219" spans="1:6" x14ac:dyDescent="0.4">
      <c r="A219">
        <v>72</v>
      </c>
      <c r="B219">
        <v>4</v>
      </c>
      <c r="C219">
        <v>0.25</v>
      </c>
      <c r="D219">
        <v>30</v>
      </c>
      <c r="E219">
        <v>4</v>
      </c>
      <c r="F219">
        <v>90</v>
      </c>
    </row>
    <row r="220" spans="1:6" x14ac:dyDescent="0.4">
      <c r="A220">
        <v>51</v>
      </c>
      <c r="B220">
        <v>3</v>
      </c>
      <c r="C220">
        <v>1</v>
      </c>
      <c r="D220">
        <v>25</v>
      </c>
      <c r="E220">
        <v>2</v>
      </c>
      <c r="F220">
        <v>180</v>
      </c>
    </row>
    <row r="221" spans="1:6" x14ac:dyDescent="0.4">
      <c r="A221">
        <v>40</v>
      </c>
      <c r="B221">
        <v>4</v>
      </c>
      <c r="C221">
        <v>1</v>
      </c>
      <c r="D221">
        <v>25</v>
      </c>
      <c r="E221">
        <v>2</v>
      </c>
      <c r="F221">
        <v>250</v>
      </c>
    </row>
    <row r="222" spans="1:6" x14ac:dyDescent="0.4">
      <c r="A222">
        <v>62</v>
      </c>
      <c r="B222">
        <v>5</v>
      </c>
      <c r="C222">
        <v>0.5</v>
      </c>
      <c r="D222">
        <v>50</v>
      </c>
      <c r="E222">
        <v>4</v>
      </c>
      <c r="F222">
        <v>90</v>
      </c>
    </row>
    <row r="223" spans="1:6" x14ac:dyDescent="0.4">
      <c r="A223">
        <v>53</v>
      </c>
      <c r="B223">
        <v>4</v>
      </c>
      <c r="C223">
        <v>0.5</v>
      </c>
      <c r="D223">
        <v>80</v>
      </c>
      <c r="E223">
        <v>3</v>
      </c>
      <c r="F223">
        <v>180</v>
      </c>
    </row>
    <row r="224" spans="1:6" x14ac:dyDescent="0.4">
      <c r="A224">
        <v>31</v>
      </c>
      <c r="B224">
        <v>4</v>
      </c>
      <c r="C224">
        <v>2.5</v>
      </c>
      <c r="D224">
        <v>50</v>
      </c>
      <c r="E224">
        <v>3</v>
      </c>
      <c r="F224">
        <v>450</v>
      </c>
    </row>
    <row r="225" spans="1:6" x14ac:dyDescent="0.4">
      <c r="A225">
        <v>57</v>
      </c>
      <c r="B225">
        <v>5</v>
      </c>
      <c r="C225">
        <v>0.25</v>
      </c>
      <c r="D225">
        <v>25</v>
      </c>
      <c r="E225">
        <v>3</v>
      </c>
      <c r="F225">
        <v>80</v>
      </c>
    </row>
    <row r="226" spans="1:6" x14ac:dyDescent="0.4">
      <c r="A226">
        <v>75</v>
      </c>
      <c r="B226">
        <v>5</v>
      </c>
      <c r="C226">
        <v>0.25</v>
      </c>
      <c r="D226">
        <v>25</v>
      </c>
      <c r="E226">
        <v>4</v>
      </c>
      <c r="F226">
        <v>90</v>
      </c>
    </row>
    <row r="227" spans="1:6" x14ac:dyDescent="0.4">
      <c r="A227">
        <v>38</v>
      </c>
      <c r="B227">
        <v>9</v>
      </c>
      <c r="C227">
        <v>0.5</v>
      </c>
      <c r="D227">
        <v>200</v>
      </c>
      <c r="E227">
        <v>5</v>
      </c>
      <c r="F227">
        <v>270</v>
      </c>
    </row>
    <row r="228" spans="1:6" x14ac:dyDescent="0.4">
      <c r="A228">
        <v>71</v>
      </c>
      <c r="B228">
        <v>4</v>
      </c>
      <c r="C228">
        <v>0.75</v>
      </c>
      <c r="D228">
        <v>25</v>
      </c>
      <c r="E228">
        <v>3</v>
      </c>
      <c r="F228">
        <v>90</v>
      </c>
    </row>
    <row r="229" spans="1:6" x14ac:dyDescent="0.4">
      <c r="A229">
        <v>63</v>
      </c>
      <c r="B229">
        <v>3</v>
      </c>
      <c r="C229">
        <v>0.5</v>
      </c>
      <c r="D229">
        <v>100</v>
      </c>
      <c r="E229">
        <v>3</v>
      </c>
      <c r="F229">
        <v>60</v>
      </c>
    </row>
    <row r="230" spans="1:6" x14ac:dyDescent="0.4">
      <c r="A230">
        <v>37</v>
      </c>
      <c r="B230">
        <v>7</v>
      </c>
      <c r="C230">
        <v>3</v>
      </c>
      <c r="D230">
        <v>251</v>
      </c>
      <c r="E230">
        <v>2</v>
      </c>
      <c r="F230">
        <v>270</v>
      </c>
    </row>
    <row r="231" spans="1:6" x14ac:dyDescent="0.4">
      <c r="A231">
        <v>73</v>
      </c>
      <c r="B231">
        <v>5</v>
      </c>
      <c r="C231">
        <v>0.3</v>
      </c>
      <c r="D231">
        <v>20</v>
      </c>
      <c r="E231">
        <v>3</v>
      </c>
      <c r="F231">
        <v>90</v>
      </c>
    </row>
    <row r="232" spans="1:6" x14ac:dyDescent="0.4">
      <c r="A232">
        <v>43</v>
      </c>
      <c r="B232">
        <v>6</v>
      </c>
      <c r="C232">
        <v>1.5</v>
      </c>
      <c r="D232">
        <v>100</v>
      </c>
      <c r="E232">
        <v>2</v>
      </c>
      <c r="F232">
        <v>330</v>
      </c>
    </row>
    <row r="233" spans="1:6" x14ac:dyDescent="0.4">
      <c r="A233">
        <v>56</v>
      </c>
      <c r="B233">
        <v>3</v>
      </c>
      <c r="C233">
        <v>3</v>
      </c>
      <c r="D233">
        <v>480</v>
      </c>
      <c r="E233">
        <v>2</v>
      </c>
      <c r="F233">
        <v>90</v>
      </c>
    </row>
    <row r="234" spans="1:6" x14ac:dyDescent="0.4">
      <c r="A234">
        <v>36</v>
      </c>
      <c r="B234">
        <v>4</v>
      </c>
      <c r="C234">
        <v>1</v>
      </c>
      <c r="D234">
        <v>20</v>
      </c>
      <c r="E234">
        <v>3</v>
      </c>
      <c r="F234">
        <v>180</v>
      </c>
    </row>
    <row r="235" spans="1:6" x14ac:dyDescent="0.4">
      <c r="A235">
        <v>41</v>
      </c>
      <c r="B235">
        <v>6</v>
      </c>
      <c r="C235">
        <v>0.75</v>
      </c>
      <c r="D235">
        <v>70</v>
      </c>
      <c r="E235">
        <v>3</v>
      </c>
      <c r="F235">
        <v>300</v>
      </c>
    </row>
    <row r="236" spans="1:6" x14ac:dyDescent="0.4">
      <c r="A236">
        <v>19</v>
      </c>
      <c r="B236">
        <v>5</v>
      </c>
      <c r="C236">
        <v>1.5</v>
      </c>
      <c r="D236">
        <v>25</v>
      </c>
      <c r="E236">
        <v>4</v>
      </c>
      <c r="F236">
        <v>450</v>
      </c>
    </row>
    <row r="237" spans="1:6" x14ac:dyDescent="0.4">
      <c r="A237">
        <v>37</v>
      </c>
      <c r="B237">
        <v>3</v>
      </c>
      <c r="C237">
        <v>2</v>
      </c>
      <c r="D237">
        <v>100</v>
      </c>
      <c r="E237">
        <v>2</v>
      </c>
      <c r="F237">
        <v>330</v>
      </c>
    </row>
    <row r="238" spans="1:6" x14ac:dyDescent="0.4">
      <c r="A238">
        <v>63</v>
      </c>
      <c r="B238">
        <v>6</v>
      </c>
      <c r="C238">
        <v>0.25</v>
      </c>
      <c r="D238">
        <v>100</v>
      </c>
      <c r="E238">
        <v>3</v>
      </c>
      <c r="F238">
        <v>90</v>
      </c>
    </row>
    <row r="239" spans="1:6" x14ac:dyDescent="0.4">
      <c r="A239">
        <v>61</v>
      </c>
      <c r="B239">
        <v>3</v>
      </c>
      <c r="C239">
        <v>1</v>
      </c>
      <c r="D239">
        <v>100</v>
      </c>
      <c r="E239">
        <v>3</v>
      </c>
      <c r="F239">
        <v>100</v>
      </c>
    </row>
    <row r="240" spans="1:6" x14ac:dyDescent="0.4">
      <c r="A240">
        <v>41</v>
      </c>
      <c r="B240">
        <v>5</v>
      </c>
      <c r="C240">
        <v>0.25</v>
      </c>
      <c r="D240">
        <v>150</v>
      </c>
      <c r="E240">
        <v>2</v>
      </c>
      <c r="F240">
        <v>360</v>
      </c>
    </row>
    <row r="241" spans="1:6" x14ac:dyDescent="0.4">
      <c r="A241">
        <v>51</v>
      </c>
      <c r="B241">
        <v>6</v>
      </c>
      <c r="C241">
        <v>0.25</v>
      </c>
      <c r="D241">
        <v>50</v>
      </c>
      <c r="E241">
        <v>5</v>
      </c>
      <c r="F241">
        <v>180</v>
      </c>
    </row>
    <row r="242" spans="1:6" x14ac:dyDescent="0.4">
      <c r="A242">
        <v>42</v>
      </c>
      <c r="B242">
        <v>5</v>
      </c>
      <c r="C242">
        <v>1</v>
      </c>
      <c r="D242">
        <v>50</v>
      </c>
      <c r="E242">
        <v>3</v>
      </c>
      <c r="F242">
        <v>270</v>
      </c>
    </row>
    <row r="243" spans="1:6" x14ac:dyDescent="0.4">
      <c r="A243">
        <v>49</v>
      </c>
      <c r="B243">
        <v>2</v>
      </c>
      <c r="C243">
        <v>1</v>
      </c>
      <c r="D243">
        <v>50</v>
      </c>
      <c r="E243">
        <v>4</v>
      </c>
      <c r="F243">
        <v>90</v>
      </c>
    </row>
    <row r="244" spans="1:6" x14ac:dyDescent="0.4">
      <c r="A244">
        <v>64</v>
      </c>
      <c r="B244">
        <v>3</v>
      </c>
      <c r="C244">
        <v>0.5</v>
      </c>
      <c r="D244">
        <v>40</v>
      </c>
      <c r="E244">
        <v>2</v>
      </c>
      <c r="F244">
        <v>50</v>
      </c>
    </row>
    <row r="245" spans="1:6" x14ac:dyDescent="0.4">
      <c r="A245">
        <v>65</v>
      </c>
      <c r="B245">
        <v>1</v>
      </c>
      <c r="C245">
        <v>0.25</v>
      </c>
      <c r="D245">
        <v>30</v>
      </c>
      <c r="E245">
        <v>3</v>
      </c>
      <c r="F245">
        <v>100</v>
      </c>
    </row>
    <row r="246" spans="1:6" x14ac:dyDescent="0.4">
      <c r="A246">
        <v>60</v>
      </c>
      <c r="B246">
        <v>6</v>
      </c>
      <c r="C246">
        <v>0.3</v>
      </c>
      <c r="D246">
        <v>50</v>
      </c>
      <c r="E246">
        <v>5</v>
      </c>
      <c r="F246">
        <v>50</v>
      </c>
    </row>
    <row r="247" spans="1:6" x14ac:dyDescent="0.4">
      <c r="A247">
        <v>39</v>
      </c>
      <c r="B247">
        <v>2</v>
      </c>
      <c r="C247">
        <v>2</v>
      </c>
      <c r="D247">
        <v>50</v>
      </c>
      <c r="E247">
        <v>2</v>
      </c>
      <c r="F247">
        <v>300</v>
      </c>
    </row>
    <row r="248" spans="1:6" x14ac:dyDescent="0.4">
      <c r="A248">
        <v>55</v>
      </c>
      <c r="B248">
        <v>6</v>
      </c>
      <c r="C248">
        <v>0.25</v>
      </c>
      <c r="D248">
        <v>50</v>
      </c>
      <c r="E248">
        <v>3</v>
      </c>
      <c r="F248">
        <v>90</v>
      </c>
    </row>
    <row r="249" spans="1:6" x14ac:dyDescent="0.4">
      <c r="A249">
        <v>46</v>
      </c>
      <c r="B249">
        <v>3</v>
      </c>
      <c r="C249">
        <v>0.5</v>
      </c>
      <c r="D249">
        <v>25</v>
      </c>
      <c r="E249">
        <v>2</v>
      </c>
      <c r="F249">
        <v>125</v>
      </c>
    </row>
    <row r="250" spans="1:6" x14ac:dyDescent="0.4">
      <c r="A250">
        <v>53</v>
      </c>
      <c r="B250">
        <v>2</v>
      </c>
      <c r="C250">
        <v>0.5</v>
      </c>
      <c r="D250">
        <v>20</v>
      </c>
      <c r="E250">
        <v>3</v>
      </c>
      <c r="F250">
        <v>160</v>
      </c>
    </row>
    <row r="251" spans="1:6" x14ac:dyDescent="0.4">
      <c r="A251">
        <v>30</v>
      </c>
      <c r="B251">
        <v>1</v>
      </c>
      <c r="C251">
        <v>1.5</v>
      </c>
      <c r="D251">
        <v>20</v>
      </c>
      <c r="E251">
        <v>4</v>
      </c>
      <c r="F251">
        <v>360</v>
      </c>
    </row>
    <row r="252" spans="1:6" x14ac:dyDescent="0.4">
      <c r="A252">
        <v>39</v>
      </c>
      <c r="B252">
        <v>3</v>
      </c>
      <c r="C252">
        <v>1</v>
      </c>
      <c r="D252">
        <v>50</v>
      </c>
      <c r="E252">
        <v>2</v>
      </c>
      <c r="F252">
        <v>270</v>
      </c>
    </row>
    <row r="253" spans="1:6" x14ac:dyDescent="0.4">
      <c r="A253">
        <v>39</v>
      </c>
      <c r="B253">
        <v>3</v>
      </c>
      <c r="C253">
        <v>1</v>
      </c>
      <c r="D253">
        <v>100</v>
      </c>
      <c r="E253">
        <v>3</v>
      </c>
      <c r="F253">
        <v>200</v>
      </c>
    </row>
    <row r="254" spans="1:6" x14ac:dyDescent="0.4">
      <c r="A254">
        <v>58</v>
      </c>
      <c r="B254">
        <v>3</v>
      </c>
      <c r="C254">
        <v>0.75</v>
      </c>
      <c r="D254">
        <v>50</v>
      </c>
      <c r="E254">
        <v>2</v>
      </c>
      <c r="F254">
        <v>100</v>
      </c>
    </row>
    <row r="255" spans="1:6" x14ac:dyDescent="0.4">
      <c r="A255">
        <v>42</v>
      </c>
      <c r="B255">
        <v>6</v>
      </c>
      <c r="C255">
        <v>0.5</v>
      </c>
      <c r="D255">
        <v>20</v>
      </c>
      <c r="E255">
        <v>2</v>
      </c>
      <c r="F255">
        <v>180</v>
      </c>
    </row>
    <row r="256" spans="1:6" x14ac:dyDescent="0.4">
      <c r="A256">
        <v>58</v>
      </c>
      <c r="B256">
        <v>4</v>
      </c>
      <c r="C256">
        <v>0.25</v>
      </c>
      <c r="D256">
        <v>22</v>
      </c>
      <c r="E256">
        <v>4</v>
      </c>
      <c r="F256">
        <v>70</v>
      </c>
    </row>
    <row r="257" spans="1:6" x14ac:dyDescent="0.4">
      <c r="A257">
        <v>74</v>
      </c>
      <c r="B257">
        <v>7</v>
      </c>
      <c r="C257">
        <v>0.75</v>
      </c>
      <c r="D257">
        <v>25</v>
      </c>
      <c r="E257">
        <v>3</v>
      </c>
      <c r="F257">
        <v>90</v>
      </c>
    </row>
    <row r="258" spans="1:6" x14ac:dyDescent="0.4">
      <c r="A258">
        <v>40</v>
      </c>
      <c r="B258">
        <v>4</v>
      </c>
      <c r="C258">
        <v>0.3</v>
      </c>
      <c r="D258">
        <v>50</v>
      </c>
      <c r="E258">
        <v>3</v>
      </c>
      <c r="F258">
        <v>270</v>
      </c>
    </row>
    <row r="259" spans="1:6" x14ac:dyDescent="0.4">
      <c r="A259">
        <v>51</v>
      </c>
      <c r="B259">
        <v>5</v>
      </c>
      <c r="C259">
        <v>0.5</v>
      </c>
      <c r="D259">
        <v>150</v>
      </c>
      <c r="E259">
        <v>2</v>
      </c>
      <c r="F259">
        <v>180</v>
      </c>
    </row>
    <row r="260" spans="1:6" x14ac:dyDescent="0.4">
      <c r="A260">
        <v>43</v>
      </c>
      <c r="B260">
        <v>3</v>
      </c>
      <c r="C260">
        <v>0.5</v>
      </c>
      <c r="D260">
        <v>30</v>
      </c>
      <c r="E260">
        <v>3</v>
      </c>
      <c r="F260">
        <v>270</v>
      </c>
    </row>
    <row r="261" spans="1:6" x14ac:dyDescent="0.4">
      <c r="A261">
        <v>34</v>
      </c>
      <c r="B261">
        <v>5</v>
      </c>
      <c r="C261">
        <v>2</v>
      </c>
      <c r="D261">
        <v>100</v>
      </c>
      <c r="E261">
        <v>5</v>
      </c>
      <c r="F261">
        <v>450</v>
      </c>
    </row>
    <row r="262" spans="1:6" x14ac:dyDescent="0.4">
      <c r="A262">
        <v>41</v>
      </c>
      <c r="B262">
        <v>3</v>
      </c>
      <c r="C262">
        <v>1</v>
      </c>
      <c r="D262">
        <v>100</v>
      </c>
      <c r="E262">
        <v>2</v>
      </c>
      <c r="F262">
        <v>270</v>
      </c>
    </row>
    <row r="263" spans="1:6" x14ac:dyDescent="0.4">
      <c r="A263">
        <v>43</v>
      </c>
      <c r="B263">
        <v>6</v>
      </c>
      <c r="C263">
        <v>0.5</v>
      </c>
      <c r="D263">
        <v>20</v>
      </c>
      <c r="E263">
        <v>2</v>
      </c>
      <c r="F263">
        <v>180</v>
      </c>
    </row>
    <row r="264" spans="1:6" x14ac:dyDescent="0.4">
      <c r="A264">
        <v>35</v>
      </c>
      <c r="B264">
        <v>6</v>
      </c>
      <c r="C264">
        <v>0.75</v>
      </c>
      <c r="D264">
        <v>200</v>
      </c>
      <c r="E264">
        <v>3</v>
      </c>
      <c r="F264">
        <v>450</v>
      </c>
    </row>
    <row r="265" spans="1:6" x14ac:dyDescent="0.4">
      <c r="A265">
        <v>19</v>
      </c>
      <c r="B265">
        <v>6</v>
      </c>
      <c r="C265">
        <v>1</v>
      </c>
      <c r="D265">
        <v>30</v>
      </c>
      <c r="E265">
        <v>2</v>
      </c>
      <c r="F265">
        <v>360</v>
      </c>
    </row>
    <row r="266" spans="1:6" x14ac:dyDescent="0.4">
      <c r="A266">
        <v>54</v>
      </c>
      <c r="B266">
        <v>1</v>
      </c>
      <c r="C266">
        <v>1</v>
      </c>
      <c r="D266">
        <v>100</v>
      </c>
      <c r="E266">
        <v>5</v>
      </c>
      <c r="F266">
        <v>126</v>
      </c>
    </row>
    <row r="267" spans="1:6" x14ac:dyDescent="0.4">
      <c r="A267">
        <v>62</v>
      </c>
      <c r="B267">
        <v>6</v>
      </c>
      <c r="C267">
        <v>0.5</v>
      </c>
      <c r="D267">
        <v>20</v>
      </c>
      <c r="E267">
        <v>3</v>
      </c>
      <c r="F267">
        <v>50</v>
      </c>
    </row>
    <row r="268" spans="1:6" x14ac:dyDescent="0.4">
      <c r="A268">
        <v>43</v>
      </c>
      <c r="B268">
        <v>5</v>
      </c>
      <c r="C268">
        <v>1</v>
      </c>
      <c r="D268">
        <v>50</v>
      </c>
      <c r="E268">
        <v>2</v>
      </c>
      <c r="F268">
        <v>270</v>
      </c>
    </row>
    <row r="269" spans="1:6" x14ac:dyDescent="0.4">
      <c r="A269">
        <v>40</v>
      </c>
      <c r="B269">
        <v>4</v>
      </c>
      <c r="C269">
        <v>0.75</v>
      </c>
      <c r="D269">
        <v>50</v>
      </c>
      <c r="E269">
        <v>2</v>
      </c>
      <c r="F269">
        <v>200</v>
      </c>
    </row>
    <row r="270" spans="1:6" x14ac:dyDescent="0.4">
      <c r="A270">
        <v>63</v>
      </c>
      <c r="B270">
        <v>1</v>
      </c>
      <c r="C270">
        <v>0.5</v>
      </c>
      <c r="D270">
        <v>20</v>
      </c>
      <c r="E270">
        <v>4</v>
      </c>
      <c r="F270">
        <v>90</v>
      </c>
    </row>
    <row r="271" spans="1:6" x14ac:dyDescent="0.4">
      <c r="A271">
        <v>31</v>
      </c>
      <c r="B271">
        <v>6</v>
      </c>
      <c r="C271">
        <v>1</v>
      </c>
      <c r="D271">
        <v>20</v>
      </c>
      <c r="E271">
        <v>5</v>
      </c>
      <c r="F271">
        <v>360</v>
      </c>
    </row>
    <row r="272" spans="1:6" x14ac:dyDescent="0.4">
      <c r="A272">
        <v>39</v>
      </c>
      <c r="B272">
        <v>3</v>
      </c>
      <c r="C272">
        <v>0.75</v>
      </c>
      <c r="D272">
        <v>50</v>
      </c>
      <c r="E272">
        <v>3</v>
      </c>
      <c r="F272">
        <v>270</v>
      </c>
    </row>
    <row r="273" spans="1:6" x14ac:dyDescent="0.4">
      <c r="A273">
        <v>65</v>
      </c>
      <c r="B273">
        <v>3</v>
      </c>
      <c r="C273">
        <v>1.5</v>
      </c>
      <c r="D273">
        <v>50</v>
      </c>
      <c r="E273">
        <v>2</v>
      </c>
      <c r="F273">
        <v>50</v>
      </c>
    </row>
    <row r="274" spans="1:6" x14ac:dyDescent="0.4">
      <c r="A274">
        <v>54</v>
      </c>
      <c r="B274">
        <v>4</v>
      </c>
      <c r="C274">
        <v>0.5</v>
      </c>
      <c r="D274">
        <v>150</v>
      </c>
      <c r="E274">
        <v>6</v>
      </c>
      <c r="F274">
        <v>180</v>
      </c>
    </row>
    <row r="275" spans="1:6" x14ac:dyDescent="0.4">
      <c r="A275">
        <v>42</v>
      </c>
      <c r="B275">
        <v>2</v>
      </c>
      <c r="C275">
        <v>0.5</v>
      </c>
      <c r="D275">
        <v>30</v>
      </c>
      <c r="E275">
        <v>2</v>
      </c>
      <c r="F275">
        <v>270</v>
      </c>
    </row>
    <row r="276" spans="1:6" x14ac:dyDescent="0.4">
      <c r="A276">
        <v>62</v>
      </c>
      <c r="B276">
        <v>3</v>
      </c>
      <c r="C276">
        <v>0.5</v>
      </c>
      <c r="D276">
        <v>25</v>
      </c>
      <c r="E276">
        <v>4</v>
      </c>
      <c r="F276">
        <v>60</v>
      </c>
    </row>
    <row r="277" spans="1:6" x14ac:dyDescent="0.4">
      <c r="A277">
        <v>24</v>
      </c>
      <c r="B277">
        <v>1</v>
      </c>
      <c r="C277">
        <v>0.3</v>
      </c>
      <c r="D277">
        <v>20</v>
      </c>
      <c r="E277">
        <v>3</v>
      </c>
      <c r="F277">
        <v>400</v>
      </c>
    </row>
    <row r="278" spans="1:6" x14ac:dyDescent="0.4">
      <c r="A278">
        <v>54</v>
      </c>
      <c r="B278">
        <v>4</v>
      </c>
      <c r="C278">
        <v>0.5</v>
      </c>
      <c r="D278">
        <v>350</v>
      </c>
      <c r="E278">
        <v>5</v>
      </c>
      <c r="F278">
        <v>180</v>
      </c>
    </row>
    <row r="279" spans="1:6" x14ac:dyDescent="0.4">
      <c r="A279">
        <v>50</v>
      </c>
      <c r="B279">
        <v>4</v>
      </c>
      <c r="C279">
        <v>0.25</v>
      </c>
      <c r="D279">
        <v>40</v>
      </c>
      <c r="E279">
        <v>3</v>
      </c>
      <c r="F279">
        <v>135</v>
      </c>
    </row>
    <row r="280" spans="1:6" x14ac:dyDescent="0.4">
      <c r="A280">
        <v>41</v>
      </c>
      <c r="B280">
        <v>5</v>
      </c>
      <c r="C280">
        <v>1</v>
      </c>
      <c r="D280">
        <v>20</v>
      </c>
      <c r="E280">
        <v>3</v>
      </c>
      <c r="F280">
        <v>180</v>
      </c>
    </row>
    <row r="281" spans="1:6" x14ac:dyDescent="0.4">
      <c r="A281">
        <v>42</v>
      </c>
      <c r="B281">
        <v>6</v>
      </c>
      <c r="C281">
        <v>1</v>
      </c>
      <c r="D281">
        <v>25</v>
      </c>
      <c r="E281">
        <v>4</v>
      </c>
      <c r="F281">
        <v>270</v>
      </c>
    </row>
    <row r="282" spans="1:6" x14ac:dyDescent="0.4">
      <c r="A282">
        <v>29</v>
      </c>
      <c r="B282">
        <v>5</v>
      </c>
      <c r="C282">
        <v>0.5</v>
      </c>
      <c r="D282">
        <v>70</v>
      </c>
      <c r="E282">
        <v>2</v>
      </c>
      <c r="F282">
        <v>360</v>
      </c>
    </row>
    <row r="283" spans="1:6" x14ac:dyDescent="0.4">
      <c r="A283">
        <v>54</v>
      </c>
      <c r="B283">
        <v>5</v>
      </c>
      <c r="C283">
        <v>0.5</v>
      </c>
      <c r="D283">
        <v>150</v>
      </c>
      <c r="E283">
        <v>3</v>
      </c>
      <c r="F283">
        <v>160</v>
      </c>
    </row>
    <row r="284" spans="1:6" x14ac:dyDescent="0.4">
      <c r="A284">
        <v>59</v>
      </c>
      <c r="B284">
        <v>5</v>
      </c>
      <c r="C284">
        <v>0.25</v>
      </c>
      <c r="D284">
        <v>75</v>
      </c>
      <c r="E284">
        <v>3</v>
      </c>
      <c r="F284">
        <v>100</v>
      </c>
    </row>
    <row r="285" spans="1:6" x14ac:dyDescent="0.4">
      <c r="A285">
        <v>42</v>
      </c>
      <c r="B285">
        <v>5</v>
      </c>
      <c r="C285">
        <v>1</v>
      </c>
      <c r="D285">
        <v>20</v>
      </c>
      <c r="E285">
        <v>2</v>
      </c>
      <c r="F285">
        <v>180</v>
      </c>
    </row>
    <row r="286" spans="1:6" x14ac:dyDescent="0.4">
      <c r="A286">
        <v>43</v>
      </c>
      <c r="B286">
        <v>6</v>
      </c>
      <c r="C286">
        <v>0.5</v>
      </c>
      <c r="D286">
        <v>180</v>
      </c>
      <c r="E286">
        <v>3</v>
      </c>
      <c r="F286">
        <v>360</v>
      </c>
    </row>
    <row r="287" spans="1:6" x14ac:dyDescent="0.4">
      <c r="A287">
        <v>59</v>
      </c>
      <c r="B287">
        <v>5</v>
      </c>
      <c r="C287">
        <v>0.25</v>
      </c>
      <c r="D287">
        <v>75</v>
      </c>
      <c r="E287">
        <v>2</v>
      </c>
      <c r="F287">
        <v>50</v>
      </c>
    </row>
    <row r="288" spans="1:6" x14ac:dyDescent="0.4">
      <c r="A288">
        <v>44</v>
      </c>
      <c r="B288">
        <v>3</v>
      </c>
      <c r="C288">
        <v>1</v>
      </c>
      <c r="D288">
        <v>25</v>
      </c>
      <c r="E288">
        <v>2</v>
      </c>
      <c r="F288">
        <v>270</v>
      </c>
    </row>
    <row r="289" spans="1:6" x14ac:dyDescent="0.4">
      <c r="A289">
        <v>62</v>
      </c>
      <c r="B289">
        <v>6</v>
      </c>
      <c r="C289">
        <v>0.5</v>
      </c>
      <c r="D289">
        <v>20</v>
      </c>
      <c r="E289">
        <v>3</v>
      </c>
      <c r="F289">
        <v>90</v>
      </c>
    </row>
    <row r="290" spans="1:6" x14ac:dyDescent="0.4">
      <c r="A290">
        <v>60</v>
      </c>
      <c r="B290">
        <v>3</v>
      </c>
      <c r="C290">
        <v>0.5</v>
      </c>
      <c r="D290">
        <v>20</v>
      </c>
      <c r="E290">
        <v>2</v>
      </c>
      <c r="F290">
        <v>90</v>
      </c>
    </row>
    <row r="291" spans="1:6" x14ac:dyDescent="0.4">
      <c r="A291">
        <v>20</v>
      </c>
      <c r="B291">
        <v>6</v>
      </c>
      <c r="C291">
        <v>1</v>
      </c>
      <c r="D291">
        <v>20</v>
      </c>
      <c r="E291">
        <v>2</v>
      </c>
      <c r="F291">
        <v>360</v>
      </c>
    </row>
    <row r="292" spans="1:6" x14ac:dyDescent="0.4">
      <c r="A292">
        <v>59</v>
      </c>
      <c r="B292">
        <v>2</v>
      </c>
      <c r="C292">
        <v>1</v>
      </c>
      <c r="D292">
        <v>50</v>
      </c>
      <c r="E292">
        <v>3</v>
      </c>
      <c r="F292">
        <v>80</v>
      </c>
    </row>
    <row r="293" spans="1:6" x14ac:dyDescent="0.4">
      <c r="A293">
        <v>59</v>
      </c>
      <c r="B293">
        <v>1</v>
      </c>
      <c r="C293">
        <v>0.25</v>
      </c>
      <c r="D293">
        <v>120</v>
      </c>
      <c r="E293">
        <v>3</v>
      </c>
      <c r="F293">
        <v>100</v>
      </c>
    </row>
    <row r="294" spans="1:6" x14ac:dyDescent="0.4">
      <c r="A294">
        <v>42</v>
      </c>
      <c r="B294">
        <v>6</v>
      </c>
      <c r="C294">
        <v>0.5</v>
      </c>
      <c r="D294">
        <v>70</v>
      </c>
      <c r="E294">
        <v>2</v>
      </c>
      <c r="F294">
        <v>270</v>
      </c>
    </row>
    <row r="295" spans="1:6" x14ac:dyDescent="0.4">
      <c r="A295">
        <v>32</v>
      </c>
      <c r="B295">
        <v>6</v>
      </c>
      <c r="C295">
        <v>1</v>
      </c>
      <c r="D295">
        <v>25</v>
      </c>
      <c r="E295">
        <v>2</v>
      </c>
      <c r="F295">
        <v>360</v>
      </c>
    </row>
    <row r="296" spans="1:6" x14ac:dyDescent="0.4">
      <c r="A296">
        <v>26</v>
      </c>
      <c r="B296">
        <v>4</v>
      </c>
      <c r="C296">
        <v>2</v>
      </c>
      <c r="D296">
        <v>50</v>
      </c>
      <c r="E296">
        <v>3</v>
      </c>
      <c r="F296">
        <v>540</v>
      </c>
    </row>
    <row r="297" spans="1:6" x14ac:dyDescent="0.4">
      <c r="A297">
        <v>42</v>
      </c>
      <c r="B297">
        <v>2</v>
      </c>
      <c r="C297">
        <v>1</v>
      </c>
      <c r="D297">
        <v>100</v>
      </c>
      <c r="E297">
        <v>3</v>
      </c>
      <c r="F297">
        <v>330</v>
      </c>
    </row>
    <row r="298" spans="1:6" x14ac:dyDescent="0.4">
      <c r="A298">
        <v>25</v>
      </c>
      <c r="B298">
        <v>6</v>
      </c>
      <c r="C298">
        <v>0.75</v>
      </c>
      <c r="D298">
        <v>25</v>
      </c>
      <c r="E298">
        <v>6</v>
      </c>
      <c r="F298">
        <v>540</v>
      </c>
    </row>
    <row r="299" spans="1:6" x14ac:dyDescent="0.4">
      <c r="A299">
        <v>22</v>
      </c>
      <c r="B299">
        <v>1</v>
      </c>
      <c r="C299">
        <v>3</v>
      </c>
      <c r="D299">
        <v>100</v>
      </c>
      <c r="E299">
        <v>2</v>
      </c>
      <c r="F299">
        <v>540</v>
      </c>
    </row>
    <row r="300" spans="1:6" x14ac:dyDescent="0.4">
      <c r="A300">
        <v>43</v>
      </c>
      <c r="B300">
        <v>3</v>
      </c>
      <c r="C300">
        <v>0.5</v>
      </c>
      <c r="D300">
        <v>25</v>
      </c>
      <c r="E300">
        <v>4</v>
      </c>
      <c r="F300">
        <v>200</v>
      </c>
    </row>
    <row r="301" spans="1:6" x14ac:dyDescent="0.4">
      <c r="A301">
        <v>47</v>
      </c>
      <c r="B301">
        <v>6</v>
      </c>
      <c r="C301">
        <v>0.5</v>
      </c>
      <c r="D301">
        <v>40</v>
      </c>
      <c r="E301">
        <v>2</v>
      </c>
      <c r="F301">
        <v>180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2D634-C0B6-4536-9D6A-74690811E589}">
  <dimension ref="A1:L301"/>
  <sheetViews>
    <sheetView topLeftCell="A4" zoomScale="80" zoomScaleNormal="80" workbookViewId="0">
      <selection activeCell="M3" sqref="M3"/>
    </sheetView>
  </sheetViews>
  <sheetFormatPr defaultRowHeight="16" x14ac:dyDescent="0.4"/>
  <cols>
    <col min="9" max="9" width="15.58203125" customWidth="1"/>
    <col min="11" max="11" width="16.08203125" customWidth="1"/>
    <col min="12" max="12" width="15.58203125" customWidth="1"/>
  </cols>
  <sheetData>
    <row r="1" spans="1:12" x14ac:dyDescent="0.4">
      <c r="A1" s="1" t="s">
        <v>6</v>
      </c>
      <c r="B1" s="8" t="s">
        <v>9</v>
      </c>
      <c r="C1" s="8" t="s">
        <v>12</v>
      </c>
      <c r="D1" s="8" t="s">
        <v>15</v>
      </c>
      <c r="E1" s="8" t="s">
        <v>17</v>
      </c>
      <c r="F1" s="8" t="s">
        <v>19</v>
      </c>
      <c r="G1" s="8" t="s">
        <v>21</v>
      </c>
      <c r="H1" s="8" t="s">
        <v>23</v>
      </c>
      <c r="I1" s="8" t="s">
        <v>25</v>
      </c>
      <c r="J1" s="8" t="s">
        <v>35</v>
      </c>
      <c r="K1" s="8" t="s">
        <v>542</v>
      </c>
      <c r="L1" s="8" t="s">
        <v>543</v>
      </c>
    </row>
    <row r="2" spans="1:12" x14ac:dyDescent="0.4">
      <c r="A2" t="s">
        <v>32</v>
      </c>
      <c r="B2" t="s">
        <v>33</v>
      </c>
      <c r="C2">
        <v>65</v>
      </c>
      <c r="D2" t="s">
        <v>34</v>
      </c>
      <c r="E2">
        <v>3</v>
      </c>
      <c r="F2">
        <v>0.25</v>
      </c>
      <c r="G2">
        <v>70</v>
      </c>
      <c r="H2">
        <v>2</v>
      </c>
      <c r="I2" t="s">
        <v>35</v>
      </c>
      <c r="J2">
        <f>IF(I2="Radio", 1, 0)</f>
        <v>1</v>
      </c>
      <c r="K2">
        <f>IF(I2="Public gatherings", 1, 0)</f>
        <v>0</v>
      </c>
      <c r="L2">
        <f>IF(I2="Extension Services", 1, 0)</f>
        <v>0</v>
      </c>
    </row>
    <row r="3" spans="1:12" x14ac:dyDescent="0.4">
      <c r="A3" t="s">
        <v>37</v>
      </c>
      <c r="B3" t="s">
        <v>38</v>
      </c>
      <c r="C3">
        <v>58</v>
      </c>
      <c r="D3" t="s">
        <v>34</v>
      </c>
      <c r="E3">
        <v>5</v>
      </c>
      <c r="F3">
        <v>0.5</v>
      </c>
      <c r="G3">
        <v>50</v>
      </c>
      <c r="H3">
        <v>2</v>
      </c>
      <c r="I3" t="s">
        <v>39</v>
      </c>
      <c r="J3">
        <f t="shared" ref="J3:J66" si="0">IF(I3="Radio", 1, 0)</f>
        <v>0</v>
      </c>
      <c r="K3">
        <f t="shared" ref="K3:K66" si="1">IF(I3="Public gatherings", 1, 0)</f>
        <v>1</v>
      </c>
      <c r="L3">
        <f t="shared" ref="L3:L66" si="2">IF(I3="Extension Services", 1, 0)</f>
        <v>0</v>
      </c>
    </row>
    <row r="4" spans="1:12" x14ac:dyDescent="0.4">
      <c r="A4" t="s">
        <v>40</v>
      </c>
      <c r="B4" t="s">
        <v>38</v>
      </c>
      <c r="C4">
        <v>20</v>
      </c>
      <c r="D4" t="s">
        <v>34</v>
      </c>
      <c r="E4">
        <v>5</v>
      </c>
      <c r="F4">
        <v>1.5</v>
      </c>
      <c r="G4">
        <v>50</v>
      </c>
      <c r="H4">
        <v>2</v>
      </c>
      <c r="I4" t="s">
        <v>41</v>
      </c>
      <c r="J4">
        <f t="shared" si="0"/>
        <v>0</v>
      </c>
      <c r="K4">
        <f t="shared" si="1"/>
        <v>0</v>
      </c>
      <c r="L4">
        <f t="shared" si="2"/>
        <v>1</v>
      </c>
    </row>
    <row r="5" spans="1:12" x14ac:dyDescent="0.4">
      <c r="A5" t="s">
        <v>43</v>
      </c>
      <c r="B5" t="s">
        <v>33</v>
      </c>
      <c r="C5">
        <v>28</v>
      </c>
      <c r="D5" t="s">
        <v>34</v>
      </c>
      <c r="E5">
        <v>6</v>
      </c>
      <c r="F5">
        <v>1</v>
      </c>
      <c r="G5">
        <v>50</v>
      </c>
      <c r="H5">
        <v>5</v>
      </c>
      <c r="I5" t="s">
        <v>35</v>
      </c>
      <c r="J5">
        <f t="shared" si="0"/>
        <v>1</v>
      </c>
      <c r="K5">
        <f t="shared" si="1"/>
        <v>0</v>
      </c>
      <c r="L5">
        <f t="shared" si="2"/>
        <v>0</v>
      </c>
    </row>
    <row r="6" spans="1:12" x14ac:dyDescent="0.4">
      <c r="A6" t="s">
        <v>44</v>
      </c>
      <c r="B6" t="s">
        <v>38</v>
      </c>
      <c r="C6">
        <v>53</v>
      </c>
      <c r="D6" t="s">
        <v>45</v>
      </c>
      <c r="E6">
        <v>6</v>
      </c>
      <c r="F6">
        <v>0.25</v>
      </c>
      <c r="G6">
        <v>45</v>
      </c>
      <c r="H6">
        <v>6</v>
      </c>
      <c r="I6" t="s">
        <v>35</v>
      </c>
      <c r="J6">
        <f t="shared" si="0"/>
        <v>1</v>
      </c>
      <c r="K6">
        <f t="shared" si="1"/>
        <v>0</v>
      </c>
      <c r="L6">
        <f t="shared" si="2"/>
        <v>0</v>
      </c>
    </row>
    <row r="7" spans="1:12" x14ac:dyDescent="0.4">
      <c r="A7" t="s">
        <v>46</v>
      </c>
      <c r="B7" t="s">
        <v>38</v>
      </c>
      <c r="C7">
        <v>20</v>
      </c>
      <c r="D7" t="s">
        <v>34</v>
      </c>
      <c r="E7">
        <v>5</v>
      </c>
      <c r="F7">
        <v>2</v>
      </c>
      <c r="G7">
        <v>50</v>
      </c>
      <c r="H7">
        <v>2</v>
      </c>
      <c r="I7" t="s">
        <v>41</v>
      </c>
      <c r="J7">
        <f t="shared" si="0"/>
        <v>0</v>
      </c>
      <c r="K7">
        <f t="shared" si="1"/>
        <v>0</v>
      </c>
      <c r="L7">
        <f t="shared" si="2"/>
        <v>1</v>
      </c>
    </row>
    <row r="8" spans="1:12" x14ac:dyDescent="0.4">
      <c r="A8" t="s">
        <v>47</v>
      </c>
      <c r="B8" t="s">
        <v>38</v>
      </c>
      <c r="C8">
        <v>40</v>
      </c>
      <c r="D8" t="s">
        <v>34</v>
      </c>
      <c r="E8">
        <v>4</v>
      </c>
      <c r="F8">
        <v>0.5</v>
      </c>
      <c r="G8">
        <v>100</v>
      </c>
      <c r="H8">
        <v>4</v>
      </c>
      <c r="I8" t="s">
        <v>41</v>
      </c>
      <c r="J8">
        <f t="shared" si="0"/>
        <v>0</v>
      </c>
      <c r="K8">
        <f t="shared" si="1"/>
        <v>0</v>
      </c>
      <c r="L8">
        <f t="shared" si="2"/>
        <v>1</v>
      </c>
    </row>
    <row r="9" spans="1:12" x14ac:dyDescent="0.4">
      <c r="A9" t="s">
        <v>48</v>
      </c>
      <c r="B9" t="s">
        <v>38</v>
      </c>
      <c r="C9">
        <v>41</v>
      </c>
      <c r="D9" t="s">
        <v>34</v>
      </c>
      <c r="E9">
        <v>5</v>
      </c>
      <c r="F9">
        <v>0.25</v>
      </c>
      <c r="G9">
        <v>50</v>
      </c>
      <c r="H9">
        <v>3</v>
      </c>
      <c r="I9" t="s">
        <v>35</v>
      </c>
      <c r="J9">
        <f t="shared" si="0"/>
        <v>1</v>
      </c>
      <c r="K9">
        <f t="shared" si="1"/>
        <v>0</v>
      </c>
      <c r="L9">
        <f t="shared" si="2"/>
        <v>0</v>
      </c>
    </row>
    <row r="10" spans="1:12" x14ac:dyDescent="0.4">
      <c r="A10" t="s">
        <v>49</v>
      </c>
      <c r="B10" t="s">
        <v>38</v>
      </c>
      <c r="C10">
        <v>74</v>
      </c>
      <c r="D10" t="s">
        <v>34</v>
      </c>
      <c r="E10">
        <v>6</v>
      </c>
      <c r="F10">
        <v>1</v>
      </c>
      <c r="G10">
        <v>40</v>
      </c>
      <c r="H10">
        <v>4</v>
      </c>
      <c r="I10" t="s">
        <v>50</v>
      </c>
      <c r="J10">
        <f t="shared" si="0"/>
        <v>0</v>
      </c>
      <c r="K10">
        <f t="shared" si="1"/>
        <v>0</v>
      </c>
      <c r="L10">
        <f t="shared" si="2"/>
        <v>0</v>
      </c>
    </row>
    <row r="11" spans="1:12" x14ac:dyDescent="0.4">
      <c r="A11" t="s">
        <v>51</v>
      </c>
      <c r="B11" t="s">
        <v>38</v>
      </c>
      <c r="C11">
        <v>63</v>
      </c>
      <c r="D11" t="s">
        <v>52</v>
      </c>
      <c r="E11">
        <v>3</v>
      </c>
      <c r="F11">
        <v>0.5</v>
      </c>
      <c r="G11">
        <v>250</v>
      </c>
      <c r="H11">
        <v>4</v>
      </c>
      <c r="I11" t="s">
        <v>35</v>
      </c>
      <c r="J11">
        <f t="shared" si="0"/>
        <v>1</v>
      </c>
      <c r="K11">
        <f t="shared" si="1"/>
        <v>0</v>
      </c>
      <c r="L11">
        <f t="shared" si="2"/>
        <v>0</v>
      </c>
    </row>
    <row r="12" spans="1:12" x14ac:dyDescent="0.4">
      <c r="A12" t="s">
        <v>53</v>
      </c>
      <c r="B12" t="s">
        <v>33</v>
      </c>
      <c r="C12">
        <v>33</v>
      </c>
      <c r="D12" t="s">
        <v>34</v>
      </c>
      <c r="E12">
        <v>4</v>
      </c>
      <c r="F12">
        <v>1</v>
      </c>
      <c r="G12">
        <v>50</v>
      </c>
      <c r="H12">
        <v>2</v>
      </c>
      <c r="I12" t="s">
        <v>39</v>
      </c>
      <c r="J12">
        <f t="shared" si="0"/>
        <v>0</v>
      </c>
      <c r="K12">
        <f t="shared" si="1"/>
        <v>1</v>
      </c>
      <c r="L12">
        <f t="shared" si="2"/>
        <v>0</v>
      </c>
    </row>
    <row r="13" spans="1:12" x14ac:dyDescent="0.4">
      <c r="A13" t="s">
        <v>54</v>
      </c>
      <c r="B13" t="s">
        <v>33</v>
      </c>
      <c r="C13">
        <v>42</v>
      </c>
      <c r="D13" t="s">
        <v>34</v>
      </c>
      <c r="E13">
        <v>3</v>
      </c>
      <c r="F13">
        <v>0.5</v>
      </c>
      <c r="G13">
        <v>20</v>
      </c>
      <c r="H13">
        <v>4</v>
      </c>
      <c r="I13" t="s">
        <v>35</v>
      </c>
      <c r="J13">
        <f t="shared" si="0"/>
        <v>1</v>
      </c>
      <c r="K13">
        <f t="shared" si="1"/>
        <v>0</v>
      </c>
      <c r="L13">
        <f t="shared" si="2"/>
        <v>0</v>
      </c>
    </row>
    <row r="14" spans="1:12" x14ac:dyDescent="0.4">
      <c r="A14" t="s">
        <v>55</v>
      </c>
      <c r="B14" t="s">
        <v>38</v>
      </c>
      <c r="C14">
        <v>74</v>
      </c>
      <c r="D14" t="s">
        <v>34</v>
      </c>
      <c r="E14">
        <v>4</v>
      </c>
      <c r="F14">
        <v>0.5</v>
      </c>
      <c r="G14">
        <v>40</v>
      </c>
      <c r="H14">
        <v>3</v>
      </c>
      <c r="I14" t="s">
        <v>35</v>
      </c>
      <c r="J14">
        <f t="shared" si="0"/>
        <v>1</v>
      </c>
      <c r="K14">
        <f t="shared" si="1"/>
        <v>0</v>
      </c>
      <c r="L14">
        <f t="shared" si="2"/>
        <v>0</v>
      </c>
    </row>
    <row r="15" spans="1:12" x14ac:dyDescent="0.4">
      <c r="A15" t="s">
        <v>56</v>
      </c>
      <c r="B15" t="s">
        <v>38</v>
      </c>
      <c r="C15">
        <v>56</v>
      </c>
      <c r="D15" t="s">
        <v>34</v>
      </c>
      <c r="E15">
        <v>8</v>
      </c>
      <c r="F15">
        <v>0.25</v>
      </c>
      <c r="G15">
        <v>250</v>
      </c>
      <c r="H15">
        <v>3</v>
      </c>
      <c r="I15" t="s">
        <v>41</v>
      </c>
      <c r="J15">
        <f t="shared" si="0"/>
        <v>0</v>
      </c>
      <c r="K15">
        <f t="shared" si="1"/>
        <v>0</v>
      </c>
      <c r="L15">
        <f t="shared" si="2"/>
        <v>1</v>
      </c>
    </row>
    <row r="16" spans="1:12" x14ac:dyDescent="0.4">
      <c r="A16" t="s">
        <v>57</v>
      </c>
      <c r="B16" t="s">
        <v>38</v>
      </c>
      <c r="C16">
        <v>48</v>
      </c>
      <c r="D16" t="s">
        <v>52</v>
      </c>
      <c r="E16">
        <v>4</v>
      </c>
      <c r="F16">
        <v>0.5</v>
      </c>
      <c r="G16">
        <v>70</v>
      </c>
      <c r="H16">
        <v>5</v>
      </c>
      <c r="I16" t="s">
        <v>39</v>
      </c>
      <c r="J16">
        <f t="shared" si="0"/>
        <v>0</v>
      </c>
      <c r="K16">
        <f t="shared" si="1"/>
        <v>1</v>
      </c>
      <c r="L16">
        <f t="shared" si="2"/>
        <v>0</v>
      </c>
    </row>
    <row r="17" spans="1:12" x14ac:dyDescent="0.4">
      <c r="A17" t="s">
        <v>58</v>
      </c>
      <c r="B17" t="s">
        <v>38</v>
      </c>
      <c r="C17">
        <v>49</v>
      </c>
      <c r="D17" t="s">
        <v>52</v>
      </c>
      <c r="E17">
        <v>4</v>
      </c>
      <c r="F17">
        <v>0.5</v>
      </c>
      <c r="G17">
        <v>25</v>
      </c>
      <c r="H17">
        <v>3</v>
      </c>
      <c r="I17" t="s">
        <v>41</v>
      </c>
      <c r="J17">
        <f t="shared" si="0"/>
        <v>0</v>
      </c>
      <c r="K17">
        <f t="shared" si="1"/>
        <v>0</v>
      </c>
      <c r="L17">
        <f t="shared" si="2"/>
        <v>1</v>
      </c>
    </row>
    <row r="18" spans="1:12" x14ac:dyDescent="0.4">
      <c r="A18" t="s">
        <v>59</v>
      </c>
      <c r="B18" t="s">
        <v>38</v>
      </c>
      <c r="C18">
        <v>54</v>
      </c>
      <c r="D18" t="s">
        <v>52</v>
      </c>
      <c r="E18">
        <v>5</v>
      </c>
      <c r="F18">
        <v>0.5</v>
      </c>
      <c r="G18">
        <v>20</v>
      </c>
      <c r="H18">
        <v>4</v>
      </c>
      <c r="I18" t="s">
        <v>39</v>
      </c>
      <c r="J18">
        <f t="shared" si="0"/>
        <v>0</v>
      </c>
      <c r="K18">
        <f t="shared" si="1"/>
        <v>1</v>
      </c>
      <c r="L18">
        <f t="shared" si="2"/>
        <v>0</v>
      </c>
    </row>
    <row r="19" spans="1:12" x14ac:dyDescent="0.4">
      <c r="A19" t="s">
        <v>60</v>
      </c>
      <c r="B19" t="s">
        <v>38</v>
      </c>
      <c r="C19">
        <v>37</v>
      </c>
      <c r="D19" t="s">
        <v>34</v>
      </c>
      <c r="E19">
        <v>6</v>
      </c>
      <c r="F19">
        <v>1</v>
      </c>
      <c r="G19">
        <v>50</v>
      </c>
      <c r="H19">
        <v>2</v>
      </c>
      <c r="I19" t="s">
        <v>41</v>
      </c>
      <c r="J19">
        <f t="shared" si="0"/>
        <v>0</v>
      </c>
      <c r="K19">
        <f t="shared" si="1"/>
        <v>0</v>
      </c>
      <c r="L19">
        <f t="shared" si="2"/>
        <v>1</v>
      </c>
    </row>
    <row r="20" spans="1:12" x14ac:dyDescent="0.4">
      <c r="A20" t="s">
        <v>61</v>
      </c>
      <c r="B20" t="s">
        <v>33</v>
      </c>
      <c r="C20">
        <v>49</v>
      </c>
      <c r="D20" t="s">
        <v>34</v>
      </c>
      <c r="E20">
        <v>3</v>
      </c>
      <c r="F20">
        <v>0.5</v>
      </c>
      <c r="G20">
        <v>30</v>
      </c>
      <c r="H20">
        <v>2</v>
      </c>
      <c r="I20" t="s">
        <v>39</v>
      </c>
      <c r="J20">
        <f t="shared" si="0"/>
        <v>0</v>
      </c>
      <c r="K20">
        <f t="shared" si="1"/>
        <v>1</v>
      </c>
      <c r="L20">
        <f t="shared" si="2"/>
        <v>0</v>
      </c>
    </row>
    <row r="21" spans="1:12" x14ac:dyDescent="0.4">
      <c r="A21" t="s">
        <v>62</v>
      </c>
      <c r="B21" t="s">
        <v>38</v>
      </c>
      <c r="C21">
        <v>42</v>
      </c>
      <c r="D21" t="s">
        <v>34</v>
      </c>
      <c r="E21">
        <v>3</v>
      </c>
      <c r="F21">
        <v>1</v>
      </c>
      <c r="G21">
        <v>50</v>
      </c>
      <c r="H21">
        <v>2</v>
      </c>
      <c r="I21" t="s">
        <v>35</v>
      </c>
      <c r="J21">
        <f t="shared" si="0"/>
        <v>1</v>
      </c>
      <c r="K21">
        <f t="shared" si="1"/>
        <v>0</v>
      </c>
      <c r="L21">
        <f t="shared" si="2"/>
        <v>0</v>
      </c>
    </row>
    <row r="22" spans="1:12" x14ac:dyDescent="0.4">
      <c r="A22" t="s">
        <v>63</v>
      </c>
      <c r="B22" t="s">
        <v>38</v>
      </c>
      <c r="C22">
        <v>36</v>
      </c>
      <c r="D22" t="s">
        <v>34</v>
      </c>
      <c r="E22">
        <v>5</v>
      </c>
      <c r="F22">
        <v>1</v>
      </c>
      <c r="G22">
        <v>50</v>
      </c>
      <c r="H22">
        <v>5</v>
      </c>
      <c r="I22" t="s">
        <v>39</v>
      </c>
      <c r="J22">
        <f t="shared" si="0"/>
        <v>0</v>
      </c>
      <c r="K22">
        <f t="shared" si="1"/>
        <v>1</v>
      </c>
      <c r="L22">
        <f t="shared" si="2"/>
        <v>0</v>
      </c>
    </row>
    <row r="23" spans="1:12" x14ac:dyDescent="0.4">
      <c r="A23" t="s">
        <v>64</v>
      </c>
      <c r="B23" t="s">
        <v>38</v>
      </c>
      <c r="C23">
        <v>40</v>
      </c>
      <c r="D23" t="s">
        <v>52</v>
      </c>
      <c r="E23">
        <v>3</v>
      </c>
      <c r="F23">
        <v>0.75</v>
      </c>
      <c r="G23">
        <v>50</v>
      </c>
      <c r="H23">
        <v>3</v>
      </c>
      <c r="I23" t="s">
        <v>41</v>
      </c>
      <c r="J23">
        <f t="shared" si="0"/>
        <v>0</v>
      </c>
      <c r="K23">
        <f t="shared" si="1"/>
        <v>0</v>
      </c>
      <c r="L23">
        <f t="shared" si="2"/>
        <v>1</v>
      </c>
    </row>
    <row r="24" spans="1:12" x14ac:dyDescent="0.4">
      <c r="A24" t="s">
        <v>65</v>
      </c>
      <c r="B24" t="s">
        <v>33</v>
      </c>
      <c r="C24">
        <v>29</v>
      </c>
      <c r="D24" t="s">
        <v>34</v>
      </c>
      <c r="E24">
        <v>5</v>
      </c>
      <c r="F24">
        <v>0.5</v>
      </c>
      <c r="G24">
        <v>20</v>
      </c>
      <c r="H24">
        <v>2</v>
      </c>
      <c r="I24" t="s">
        <v>41</v>
      </c>
      <c r="J24">
        <f t="shared" si="0"/>
        <v>0</v>
      </c>
      <c r="K24">
        <f t="shared" si="1"/>
        <v>0</v>
      </c>
      <c r="L24">
        <f t="shared" si="2"/>
        <v>1</v>
      </c>
    </row>
    <row r="25" spans="1:12" x14ac:dyDescent="0.4">
      <c r="A25" t="s">
        <v>66</v>
      </c>
      <c r="B25" t="s">
        <v>38</v>
      </c>
      <c r="C25">
        <v>55</v>
      </c>
      <c r="D25" t="s">
        <v>52</v>
      </c>
      <c r="E25">
        <v>4</v>
      </c>
      <c r="F25">
        <v>2.5</v>
      </c>
      <c r="G25">
        <v>50</v>
      </c>
      <c r="H25">
        <v>3</v>
      </c>
      <c r="I25" t="s">
        <v>39</v>
      </c>
      <c r="J25">
        <f t="shared" si="0"/>
        <v>0</v>
      </c>
      <c r="K25">
        <f t="shared" si="1"/>
        <v>1</v>
      </c>
      <c r="L25">
        <f t="shared" si="2"/>
        <v>0</v>
      </c>
    </row>
    <row r="26" spans="1:12" x14ac:dyDescent="0.4">
      <c r="A26" t="s">
        <v>67</v>
      </c>
      <c r="B26" t="s">
        <v>38</v>
      </c>
      <c r="C26">
        <v>44</v>
      </c>
      <c r="D26" t="s">
        <v>34</v>
      </c>
      <c r="E26">
        <v>3</v>
      </c>
      <c r="F26">
        <v>0.25</v>
      </c>
      <c r="G26">
        <v>20</v>
      </c>
      <c r="H26">
        <v>2</v>
      </c>
      <c r="I26" t="s">
        <v>35</v>
      </c>
      <c r="J26">
        <f t="shared" si="0"/>
        <v>1</v>
      </c>
      <c r="K26">
        <f t="shared" si="1"/>
        <v>0</v>
      </c>
      <c r="L26">
        <f t="shared" si="2"/>
        <v>0</v>
      </c>
    </row>
    <row r="27" spans="1:12" x14ac:dyDescent="0.4">
      <c r="A27" t="s">
        <v>68</v>
      </c>
      <c r="B27" t="s">
        <v>33</v>
      </c>
      <c r="C27">
        <v>51</v>
      </c>
      <c r="D27" t="s">
        <v>34</v>
      </c>
      <c r="E27">
        <v>3</v>
      </c>
      <c r="F27">
        <v>0.5</v>
      </c>
      <c r="G27">
        <v>150</v>
      </c>
      <c r="H27">
        <v>2</v>
      </c>
      <c r="I27" t="s">
        <v>39</v>
      </c>
      <c r="J27">
        <f t="shared" si="0"/>
        <v>0</v>
      </c>
      <c r="K27">
        <f t="shared" si="1"/>
        <v>1</v>
      </c>
      <c r="L27">
        <f t="shared" si="2"/>
        <v>0</v>
      </c>
    </row>
    <row r="28" spans="1:12" x14ac:dyDescent="0.4">
      <c r="A28" t="s">
        <v>69</v>
      </c>
      <c r="B28" t="s">
        <v>38</v>
      </c>
      <c r="C28">
        <v>48</v>
      </c>
      <c r="D28" t="s">
        <v>34</v>
      </c>
      <c r="E28">
        <v>3</v>
      </c>
      <c r="F28">
        <v>0.5</v>
      </c>
      <c r="G28">
        <v>200</v>
      </c>
      <c r="H28">
        <v>2</v>
      </c>
      <c r="I28" t="s">
        <v>35</v>
      </c>
      <c r="J28">
        <f t="shared" si="0"/>
        <v>1</v>
      </c>
      <c r="K28">
        <f t="shared" si="1"/>
        <v>0</v>
      </c>
      <c r="L28">
        <f t="shared" si="2"/>
        <v>0</v>
      </c>
    </row>
    <row r="29" spans="1:12" x14ac:dyDescent="0.4">
      <c r="A29" t="s">
        <v>70</v>
      </c>
      <c r="B29" t="s">
        <v>33</v>
      </c>
      <c r="C29">
        <v>72</v>
      </c>
      <c r="D29" t="s">
        <v>34</v>
      </c>
      <c r="E29">
        <v>2</v>
      </c>
      <c r="F29">
        <v>0.3</v>
      </c>
      <c r="G29">
        <v>40</v>
      </c>
      <c r="H29">
        <v>4</v>
      </c>
      <c r="I29" t="s">
        <v>35</v>
      </c>
      <c r="J29">
        <f t="shared" si="0"/>
        <v>1</v>
      </c>
      <c r="K29">
        <f t="shared" si="1"/>
        <v>0</v>
      </c>
      <c r="L29">
        <f t="shared" si="2"/>
        <v>0</v>
      </c>
    </row>
    <row r="30" spans="1:12" x14ac:dyDescent="0.4">
      <c r="A30" t="s">
        <v>71</v>
      </c>
      <c r="B30" t="s">
        <v>33</v>
      </c>
      <c r="C30">
        <v>52</v>
      </c>
      <c r="D30" t="s">
        <v>45</v>
      </c>
      <c r="E30">
        <v>3</v>
      </c>
      <c r="F30">
        <v>0.5</v>
      </c>
      <c r="G30">
        <v>200</v>
      </c>
      <c r="H30">
        <v>2</v>
      </c>
      <c r="I30" t="s">
        <v>35</v>
      </c>
      <c r="J30">
        <f t="shared" si="0"/>
        <v>1</v>
      </c>
      <c r="K30">
        <f t="shared" si="1"/>
        <v>0</v>
      </c>
      <c r="L30">
        <f t="shared" si="2"/>
        <v>0</v>
      </c>
    </row>
    <row r="31" spans="1:12" x14ac:dyDescent="0.4">
      <c r="A31" t="s">
        <v>72</v>
      </c>
      <c r="B31" t="s">
        <v>38</v>
      </c>
      <c r="C31">
        <v>59</v>
      </c>
      <c r="D31" t="s">
        <v>34</v>
      </c>
      <c r="E31">
        <v>3</v>
      </c>
      <c r="F31">
        <v>0.25</v>
      </c>
      <c r="G31">
        <v>20</v>
      </c>
      <c r="H31">
        <v>2</v>
      </c>
      <c r="I31" t="s">
        <v>35</v>
      </c>
      <c r="J31">
        <f t="shared" si="0"/>
        <v>1</v>
      </c>
      <c r="K31">
        <f t="shared" si="1"/>
        <v>0</v>
      </c>
      <c r="L31">
        <f t="shared" si="2"/>
        <v>0</v>
      </c>
    </row>
    <row r="32" spans="1:12" x14ac:dyDescent="0.4">
      <c r="A32" t="s">
        <v>73</v>
      </c>
      <c r="B32" t="s">
        <v>38</v>
      </c>
      <c r="C32">
        <v>40</v>
      </c>
      <c r="D32" t="s">
        <v>34</v>
      </c>
      <c r="E32">
        <v>4</v>
      </c>
      <c r="F32">
        <v>1</v>
      </c>
      <c r="G32">
        <v>20</v>
      </c>
      <c r="H32">
        <v>3</v>
      </c>
      <c r="I32" t="s">
        <v>35</v>
      </c>
      <c r="J32">
        <f t="shared" si="0"/>
        <v>1</v>
      </c>
      <c r="K32">
        <f t="shared" si="1"/>
        <v>0</v>
      </c>
      <c r="L32">
        <f t="shared" si="2"/>
        <v>0</v>
      </c>
    </row>
    <row r="33" spans="1:12" x14ac:dyDescent="0.4">
      <c r="A33" t="s">
        <v>74</v>
      </c>
      <c r="B33" t="s">
        <v>33</v>
      </c>
      <c r="C33">
        <v>22</v>
      </c>
      <c r="D33" t="s">
        <v>52</v>
      </c>
      <c r="E33">
        <v>2</v>
      </c>
      <c r="F33">
        <v>2</v>
      </c>
      <c r="G33">
        <v>150</v>
      </c>
      <c r="H33">
        <v>2</v>
      </c>
      <c r="I33" t="s">
        <v>35</v>
      </c>
      <c r="J33">
        <f t="shared" si="0"/>
        <v>1</v>
      </c>
      <c r="K33">
        <f t="shared" si="1"/>
        <v>0</v>
      </c>
      <c r="L33">
        <f t="shared" si="2"/>
        <v>0</v>
      </c>
    </row>
    <row r="34" spans="1:12" x14ac:dyDescent="0.4">
      <c r="A34" t="s">
        <v>75</v>
      </c>
      <c r="B34" t="s">
        <v>38</v>
      </c>
      <c r="C34">
        <v>59</v>
      </c>
      <c r="D34" t="s">
        <v>34</v>
      </c>
      <c r="E34">
        <v>3</v>
      </c>
      <c r="F34">
        <v>1</v>
      </c>
      <c r="G34">
        <v>37</v>
      </c>
      <c r="H34">
        <v>2</v>
      </c>
      <c r="I34" t="s">
        <v>35</v>
      </c>
      <c r="J34">
        <f t="shared" si="0"/>
        <v>1</v>
      </c>
      <c r="K34">
        <f t="shared" si="1"/>
        <v>0</v>
      </c>
      <c r="L34">
        <f t="shared" si="2"/>
        <v>0</v>
      </c>
    </row>
    <row r="35" spans="1:12" x14ac:dyDescent="0.4">
      <c r="A35" t="s">
        <v>76</v>
      </c>
      <c r="B35" t="s">
        <v>33</v>
      </c>
      <c r="C35">
        <v>25</v>
      </c>
      <c r="D35" t="s">
        <v>77</v>
      </c>
      <c r="E35">
        <v>6</v>
      </c>
      <c r="F35">
        <v>0.5</v>
      </c>
      <c r="G35">
        <v>20</v>
      </c>
      <c r="H35">
        <v>3</v>
      </c>
      <c r="I35" t="s">
        <v>35</v>
      </c>
      <c r="J35">
        <f t="shared" si="0"/>
        <v>1</v>
      </c>
      <c r="K35">
        <f t="shared" si="1"/>
        <v>0</v>
      </c>
      <c r="L35">
        <f t="shared" si="2"/>
        <v>0</v>
      </c>
    </row>
    <row r="36" spans="1:12" x14ac:dyDescent="0.4">
      <c r="A36" t="s">
        <v>78</v>
      </c>
      <c r="B36" t="s">
        <v>38</v>
      </c>
      <c r="C36">
        <v>36</v>
      </c>
      <c r="D36" t="s">
        <v>34</v>
      </c>
      <c r="E36">
        <v>5</v>
      </c>
      <c r="F36">
        <v>0.5</v>
      </c>
      <c r="G36">
        <v>30</v>
      </c>
      <c r="H36">
        <v>2</v>
      </c>
      <c r="I36" t="s">
        <v>35</v>
      </c>
      <c r="J36">
        <f t="shared" si="0"/>
        <v>1</v>
      </c>
      <c r="K36">
        <f t="shared" si="1"/>
        <v>0</v>
      </c>
      <c r="L36">
        <f t="shared" si="2"/>
        <v>0</v>
      </c>
    </row>
    <row r="37" spans="1:12" x14ac:dyDescent="0.4">
      <c r="A37" t="s">
        <v>79</v>
      </c>
      <c r="B37" t="s">
        <v>33</v>
      </c>
      <c r="C37">
        <v>67</v>
      </c>
      <c r="D37" t="s">
        <v>52</v>
      </c>
      <c r="E37">
        <v>6</v>
      </c>
      <c r="F37">
        <v>0.5</v>
      </c>
      <c r="G37">
        <v>40</v>
      </c>
      <c r="H37">
        <v>3</v>
      </c>
      <c r="I37" t="s">
        <v>35</v>
      </c>
      <c r="J37">
        <f t="shared" si="0"/>
        <v>1</v>
      </c>
      <c r="K37">
        <f t="shared" si="1"/>
        <v>0</v>
      </c>
      <c r="L37">
        <f t="shared" si="2"/>
        <v>0</v>
      </c>
    </row>
    <row r="38" spans="1:12" x14ac:dyDescent="0.4">
      <c r="A38" t="s">
        <v>80</v>
      </c>
      <c r="B38" t="s">
        <v>38</v>
      </c>
      <c r="C38">
        <v>56</v>
      </c>
      <c r="D38" t="s">
        <v>34</v>
      </c>
      <c r="E38">
        <v>8</v>
      </c>
      <c r="F38">
        <v>0.75</v>
      </c>
      <c r="G38">
        <v>25</v>
      </c>
      <c r="H38">
        <v>3</v>
      </c>
      <c r="I38" t="s">
        <v>35</v>
      </c>
      <c r="J38">
        <f t="shared" si="0"/>
        <v>1</v>
      </c>
      <c r="K38">
        <f t="shared" si="1"/>
        <v>0</v>
      </c>
      <c r="L38">
        <f t="shared" si="2"/>
        <v>0</v>
      </c>
    </row>
    <row r="39" spans="1:12" x14ac:dyDescent="0.4">
      <c r="A39" t="s">
        <v>81</v>
      </c>
      <c r="B39" t="s">
        <v>38</v>
      </c>
      <c r="C39">
        <v>43</v>
      </c>
      <c r="D39" t="s">
        <v>34</v>
      </c>
      <c r="E39">
        <v>4</v>
      </c>
      <c r="F39">
        <v>1</v>
      </c>
      <c r="G39">
        <v>300</v>
      </c>
      <c r="H39">
        <v>2</v>
      </c>
      <c r="I39" t="s">
        <v>41</v>
      </c>
      <c r="J39">
        <f t="shared" si="0"/>
        <v>0</v>
      </c>
      <c r="K39">
        <f t="shared" si="1"/>
        <v>0</v>
      </c>
      <c r="L39">
        <f t="shared" si="2"/>
        <v>1</v>
      </c>
    </row>
    <row r="40" spans="1:12" x14ac:dyDescent="0.4">
      <c r="A40" t="s">
        <v>82</v>
      </c>
      <c r="B40" t="s">
        <v>38</v>
      </c>
      <c r="C40">
        <v>59</v>
      </c>
      <c r="D40" t="s">
        <v>34</v>
      </c>
      <c r="E40">
        <v>5</v>
      </c>
      <c r="F40">
        <v>1</v>
      </c>
      <c r="G40">
        <v>25</v>
      </c>
      <c r="H40">
        <v>3</v>
      </c>
      <c r="I40" t="s">
        <v>39</v>
      </c>
      <c r="J40">
        <f t="shared" si="0"/>
        <v>0</v>
      </c>
      <c r="K40">
        <f t="shared" si="1"/>
        <v>1</v>
      </c>
      <c r="L40">
        <f t="shared" si="2"/>
        <v>0</v>
      </c>
    </row>
    <row r="41" spans="1:12" x14ac:dyDescent="0.4">
      <c r="A41" t="s">
        <v>83</v>
      </c>
      <c r="B41" t="s">
        <v>38</v>
      </c>
      <c r="C41">
        <v>40</v>
      </c>
      <c r="D41" t="s">
        <v>52</v>
      </c>
      <c r="E41">
        <v>5</v>
      </c>
      <c r="F41">
        <v>1</v>
      </c>
      <c r="G41">
        <v>21</v>
      </c>
      <c r="H41">
        <v>3</v>
      </c>
      <c r="I41" t="s">
        <v>39</v>
      </c>
      <c r="J41">
        <f t="shared" si="0"/>
        <v>0</v>
      </c>
      <c r="K41">
        <f t="shared" si="1"/>
        <v>1</v>
      </c>
      <c r="L41">
        <f t="shared" si="2"/>
        <v>0</v>
      </c>
    </row>
    <row r="42" spans="1:12" x14ac:dyDescent="0.4">
      <c r="A42" t="s">
        <v>84</v>
      </c>
      <c r="B42" t="s">
        <v>38</v>
      </c>
      <c r="C42">
        <v>40</v>
      </c>
      <c r="D42" t="s">
        <v>34</v>
      </c>
      <c r="E42">
        <v>6</v>
      </c>
      <c r="F42">
        <v>0.5</v>
      </c>
      <c r="G42">
        <v>20</v>
      </c>
      <c r="H42">
        <v>2</v>
      </c>
      <c r="I42" t="s">
        <v>41</v>
      </c>
      <c r="J42">
        <f t="shared" si="0"/>
        <v>0</v>
      </c>
      <c r="K42">
        <f t="shared" si="1"/>
        <v>0</v>
      </c>
      <c r="L42">
        <f t="shared" si="2"/>
        <v>1</v>
      </c>
    </row>
    <row r="43" spans="1:12" x14ac:dyDescent="0.4">
      <c r="A43" t="s">
        <v>85</v>
      </c>
      <c r="B43" t="s">
        <v>38</v>
      </c>
      <c r="C43">
        <v>42</v>
      </c>
      <c r="D43" t="s">
        <v>34</v>
      </c>
      <c r="E43">
        <v>4</v>
      </c>
      <c r="F43">
        <v>0.25</v>
      </c>
      <c r="G43">
        <v>50</v>
      </c>
      <c r="H43">
        <v>2</v>
      </c>
      <c r="I43" t="s">
        <v>35</v>
      </c>
      <c r="J43">
        <f t="shared" si="0"/>
        <v>1</v>
      </c>
      <c r="K43">
        <f t="shared" si="1"/>
        <v>0</v>
      </c>
      <c r="L43">
        <f t="shared" si="2"/>
        <v>0</v>
      </c>
    </row>
    <row r="44" spans="1:12" x14ac:dyDescent="0.4">
      <c r="A44" t="s">
        <v>86</v>
      </c>
      <c r="B44" t="s">
        <v>38</v>
      </c>
      <c r="C44">
        <v>24</v>
      </c>
      <c r="D44" t="s">
        <v>52</v>
      </c>
      <c r="E44">
        <v>6</v>
      </c>
      <c r="F44">
        <v>1</v>
      </c>
      <c r="G44">
        <v>100</v>
      </c>
      <c r="H44">
        <v>2</v>
      </c>
      <c r="I44" t="s">
        <v>39</v>
      </c>
      <c r="J44">
        <f t="shared" si="0"/>
        <v>0</v>
      </c>
      <c r="K44">
        <f t="shared" si="1"/>
        <v>1</v>
      </c>
      <c r="L44">
        <f t="shared" si="2"/>
        <v>0</v>
      </c>
    </row>
    <row r="45" spans="1:12" x14ac:dyDescent="0.4">
      <c r="A45" t="s">
        <v>87</v>
      </c>
      <c r="B45" t="s">
        <v>33</v>
      </c>
      <c r="C45">
        <v>46</v>
      </c>
      <c r="D45" t="s">
        <v>52</v>
      </c>
      <c r="E45">
        <v>3</v>
      </c>
      <c r="F45">
        <v>1</v>
      </c>
      <c r="G45">
        <v>50</v>
      </c>
      <c r="H45">
        <v>4</v>
      </c>
      <c r="I45" t="s">
        <v>39</v>
      </c>
      <c r="J45">
        <f t="shared" si="0"/>
        <v>0</v>
      </c>
      <c r="K45">
        <f t="shared" si="1"/>
        <v>1</v>
      </c>
      <c r="L45">
        <f t="shared" si="2"/>
        <v>0</v>
      </c>
    </row>
    <row r="46" spans="1:12" x14ac:dyDescent="0.4">
      <c r="A46" t="s">
        <v>88</v>
      </c>
      <c r="B46" t="s">
        <v>38</v>
      </c>
      <c r="C46">
        <v>44</v>
      </c>
      <c r="D46" t="s">
        <v>52</v>
      </c>
      <c r="E46">
        <v>6</v>
      </c>
      <c r="F46">
        <v>1</v>
      </c>
      <c r="G46">
        <v>20</v>
      </c>
      <c r="H46">
        <v>3</v>
      </c>
      <c r="I46" t="s">
        <v>41</v>
      </c>
      <c r="J46">
        <f t="shared" si="0"/>
        <v>0</v>
      </c>
      <c r="K46">
        <f t="shared" si="1"/>
        <v>0</v>
      </c>
      <c r="L46">
        <f t="shared" si="2"/>
        <v>1</v>
      </c>
    </row>
    <row r="47" spans="1:12" x14ac:dyDescent="0.4">
      <c r="A47" t="s">
        <v>89</v>
      </c>
      <c r="B47" t="s">
        <v>38</v>
      </c>
      <c r="C47">
        <v>52</v>
      </c>
      <c r="D47" t="s">
        <v>34</v>
      </c>
      <c r="E47">
        <v>2</v>
      </c>
      <c r="F47">
        <v>0.5</v>
      </c>
      <c r="G47">
        <v>20</v>
      </c>
      <c r="H47">
        <v>3</v>
      </c>
      <c r="I47" t="s">
        <v>41</v>
      </c>
      <c r="J47">
        <f t="shared" si="0"/>
        <v>0</v>
      </c>
      <c r="K47">
        <f t="shared" si="1"/>
        <v>0</v>
      </c>
      <c r="L47">
        <f t="shared" si="2"/>
        <v>1</v>
      </c>
    </row>
    <row r="48" spans="1:12" x14ac:dyDescent="0.4">
      <c r="A48" t="s">
        <v>90</v>
      </c>
      <c r="B48" t="s">
        <v>38</v>
      </c>
      <c r="C48">
        <v>72</v>
      </c>
      <c r="D48" t="s">
        <v>34</v>
      </c>
      <c r="E48">
        <v>7</v>
      </c>
      <c r="F48">
        <v>0.25</v>
      </c>
      <c r="G48">
        <v>24</v>
      </c>
      <c r="H48">
        <v>3</v>
      </c>
      <c r="I48" t="s">
        <v>35</v>
      </c>
      <c r="J48">
        <f t="shared" si="0"/>
        <v>1</v>
      </c>
      <c r="K48">
        <f t="shared" si="1"/>
        <v>0</v>
      </c>
      <c r="L48">
        <f t="shared" si="2"/>
        <v>0</v>
      </c>
    </row>
    <row r="49" spans="1:12" x14ac:dyDescent="0.4">
      <c r="A49" t="s">
        <v>91</v>
      </c>
      <c r="B49" t="s">
        <v>38</v>
      </c>
      <c r="C49">
        <v>54</v>
      </c>
      <c r="D49" t="s">
        <v>52</v>
      </c>
      <c r="E49">
        <v>4</v>
      </c>
      <c r="F49">
        <v>1</v>
      </c>
      <c r="G49">
        <v>50</v>
      </c>
      <c r="H49">
        <v>2</v>
      </c>
      <c r="I49" t="s">
        <v>41</v>
      </c>
      <c r="J49">
        <f t="shared" si="0"/>
        <v>0</v>
      </c>
      <c r="K49">
        <f t="shared" si="1"/>
        <v>0</v>
      </c>
      <c r="L49">
        <f t="shared" si="2"/>
        <v>1</v>
      </c>
    </row>
    <row r="50" spans="1:12" x14ac:dyDescent="0.4">
      <c r="A50" t="s">
        <v>92</v>
      </c>
      <c r="B50" t="s">
        <v>38</v>
      </c>
      <c r="C50">
        <v>48</v>
      </c>
      <c r="D50" t="s">
        <v>52</v>
      </c>
      <c r="E50">
        <v>5</v>
      </c>
      <c r="F50">
        <v>0.25</v>
      </c>
      <c r="G50">
        <v>90</v>
      </c>
      <c r="H50">
        <v>3</v>
      </c>
      <c r="I50" t="s">
        <v>39</v>
      </c>
      <c r="J50">
        <f t="shared" si="0"/>
        <v>0</v>
      </c>
      <c r="K50">
        <f t="shared" si="1"/>
        <v>1</v>
      </c>
      <c r="L50">
        <f t="shared" si="2"/>
        <v>0</v>
      </c>
    </row>
    <row r="51" spans="1:12" x14ac:dyDescent="0.4">
      <c r="A51" t="s">
        <v>93</v>
      </c>
      <c r="B51" t="s">
        <v>38</v>
      </c>
      <c r="C51">
        <v>38</v>
      </c>
      <c r="D51" t="s">
        <v>34</v>
      </c>
      <c r="E51">
        <v>4</v>
      </c>
      <c r="F51">
        <v>2</v>
      </c>
      <c r="G51">
        <v>50</v>
      </c>
      <c r="H51">
        <v>2</v>
      </c>
      <c r="I51" t="s">
        <v>35</v>
      </c>
      <c r="J51">
        <f t="shared" si="0"/>
        <v>1</v>
      </c>
      <c r="K51">
        <f t="shared" si="1"/>
        <v>0</v>
      </c>
      <c r="L51">
        <f t="shared" si="2"/>
        <v>0</v>
      </c>
    </row>
    <row r="52" spans="1:12" x14ac:dyDescent="0.4">
      <c r="A52" t="s">
        <v>94</v>
      </c>
      <c r="B52" t="s">
        <v>38</v>
      </c>
      <c r="C52">
        <v>44</v>
      </c>
      <c r="D52" t="s">
        <v>52</v>
      </c>
      <c r="E52">
        <v>3</v>
      </c>
      <c r="F52">
        <v>1.5</v>
      </c>
      <c r="G52">
        <v>150</v>
      </c>
      <c r="H52">
        <v>2</v>
      </c>
      <c r="I52" t="s">
        <v>41</v>
      </c>
      <c r="J52">
        <f t="shared" si="0"/>
        <v>0</v>
      </c>
      <c r="K52">
        <f t="shared" si="1"/>
        <v>0</v>
      </c>
      <c r="L52">
        <f t="shared" si="2"/>
        <v>1</v>
      </c>
    </row>
    <row r="53" spans="1:12" x14ac:dyDescent="0.4">
      <c r="A53" t="s">
        <v>95</v>
      </c>
      <c r="B53" t="s">
        <v>33</v>
      </c>
      <c r="C53">
        <v>49</v>
      </c>
      <c r="D53" t="s">
        <v>34</v>
      </c>
      <c r="E53">
        <v>1</v>
      </c>
      <c r="F53">
        <v>0.25</v>
      </c>
      <c r="G53">
        <v>50</v>
      </c>
      <c r="H53">
        <v>3</v>
      </c>
      <c r="I53" t="s">
        <v>41</v>
      </c>
      <c r="J53">
        <f t="shared" si="0"/>
        <v>0</v>
      </c>
      <c r="K53">
        <f t="shared" si="1"/>
        <v>0</v>
      </c>
      <c r="L53">
        <f t="shared" si="2"/>
        <v>1</v>
      </c>
    </row>
    <row r="54" spans="1:12" x14ac:dyDescent="0.4">
      <c r="A54" t="s">
        <v>96</v>
      </c>
      <c r="B54" t="s">
        <v>33</v>
      </c>
      <c r="C54">
        <v>22</v>
      </c>
      <c r="D54" t="s">
        <v>34</v>
      </c>
      <c r="E54">
        <v>6</v>
      </c>
      <c r="F54">
        <v>1</v>
      </c>
      <c r="G54">
        <v>50</v>
      </c>
      <c r="H54">
        <v>5</v>
      </c>
      <c r="I54" t="s">
        <v>41</v>
      </c>
      <c r="J54">
        <f t="shared" si="0"/>
        <v>0</v>
      </c>
      <c r="K54">
        <f t="shared" si="1"/>
        <v>0</v>
      </c>
      <c r="L54">
        <f t="shared" si="2"/>
        <v>1</v>
      </c>
    </row>
    <row r="55" spans="1:12" x14ac:dyDescent="0.4">
      <c r="A55" t="s">
        <v>97</v>
      </c>
      <c r="B55" t="s">
        <v>33</v>
      </c>
      <c r="C55">
        <v>58</v>
      </c>
      <c r="D55" t="s">
        <v>52</v>
      </c>
      <c r="E55">
        <v>4</v>
      </c>
      <c r="F55">
        <v>0.5</v>
      </c>
      <c r="G55">
        <v>50</v>
      </c>
      <c r="H55">
        <v>3</v>
      </c>
      <c r="I55" t="s">
        <v>98</v>
      </c>
      <c r="J55">
        <f t="shared" si="0"/>
        <v>0</v>
      </c>
      <c r="K55">
        <f t="shared" si="1"/>
        <v>0</v>
      </c>
      <c r="L55">
        <f t="shared" si="2"/>
        <v>0</v>
      </c>
    </row>
    <row r="56" spans="1:12" x14ac:dyDescent="0.4">
      <c r="A56" t="s">
        <v>99</v>
      </c>
      <c r="B56" t="s">
        <v>38</v>
      </c>
      <c r="C56">
        <v>46</v>
      </c>
      <c r="D56" t="s">
        <v>100</v>
      </c>
      <c r="E56">
        <v>5</v>
      </c>
      <c r="F56">
        <v>1</v>
      </c>
      <c r="G56">
        <v>50</v>
      </c>
      <c r="H56">
        <v>4</v>
      </c>
      <c r="I56" t="s">
        <v>39</v>
      </c>
      <c r="J56">
        <f t="shared" si="0"/>
        <v>0</v>
      </c>
      <c r="K56">
        <f t="shared" si="1"/>
        <v>1</v>
      </c>
      <c r="L56">
        <f t="shared" si="2"/>
        <v>0</v>
      </c>
    </row>
    <row r="57" spans="1:12" x14ac:dyDescent="0.4">
      <c r="A57" t="s">
        <v>101</v>
      </c>
      <c r="B57" t="s">
        <v>33</v>
      </c>
      <c r="C57">
        <v>28</v>
      </c>
      <c r="D57" t="s">
        <v>52</v>
      </c>
      <c r="E57">
        <v>8</v>
      </c>
      <c r="F57">
        <v>1.5</v>
      </c>
      <c r="G57">
        <v>25</v>
      </c>
      <c r="H57">
        <v>3</v>
      </c>
      <c r="I57" t="s">
        <v>41</v>
      </c>
      <c r="J57">
        <f t="shared" si="0"/>
        <v>0</v>
      </c>
      <c r="K57">
        <f t="shared" si="1"/>
        <v>0</v>
      </c>
      <c r="L57">
        <f t="shared" si="2"/>
        <v>1</v>
      </c>
    </row>
    <row r="58" spans="1:12" x14ac:dyDescent="0.4">
      <c r="A58" t="s">
        <v>102</v>
      </c>
      <c r="B58" t="s">
        <v>38</v>
      </c>
      <c r="C58">
        <v>41</v>
      </c>
      <c r="D58" t="s">
        <v>34</v>
      </c>
      <c r="E58">
        <v>3</v>
      </c>
      <c r="F58">
        <v>1</v>
      </c>
      <c r="G58">
        <v>25</v>
      </c>
      <c r="H58">
        <v>2</v>
      </c>
      <c r="I58" t="s">
        <v>41</v>
      </c>
      <c r="J58">
        <f t="shared" si="0"/>
        <v>0</v>
      </c>
      <c r="K58">
        <f t="shared" si="1"/>
        <v>0</v>
      </c>
      <c r="L58">
        <f t="shared" si="2"/>
        <v>1</v>
      </c>
    </row>
    <row r="59" spans="1:12" x14ac:dyDescent="0.4">
      <c r="A59" t="s">
        <v>103</v>
      </c>
      <c r="B59" t="s">
        <v>33</v>
      </c>
      <c r="C59">
        <v>21</v>
      </c>
      <c r="D59" t="s">
        <v>34</v>
      </c>
      <c r="E59">
        <v>4</v>
      </c>
      <c r="F59">
        <v>1.5</v>
      </c>
      <c r="G59">
        <v>40</v>
      </c>
      <c r="H59">
        <v>2</v>
      </c>
      <c r="I59" t="s">
        <v>39</v>
      </c>
      <c r="J59">
        <f t="shared" si="0"/>
        <v>0</v>
      </c>
      <c r="K59">
        <f t="shared" si="1"/>
        <v>1</v>
      </c>
      <c r="L59">
        <f t="shared" si="2"/>
        <v>0</v>
      </c>
    </row>
    <row r="60" spans="1:12" x14ac:dyDescent="0.4">
      <c r="A60" t="s">
        <v>104</v>
      </c>
      <c r="B60" t="s">
        <v>38</v>
      </c>
      <c r="C60">
        <v>30</v>
      </c>
      <c r="D60" t="s">
        <v>34</v>
      </c>
      <c r="E60">
        <v>4</v>
      </c>
      <c r="F60">
        <v>0.5</v>
      </c>
      <c r="G60">
        <v>30</v>
      </c>
      <c r="H60">
        <v>2</v>
      </c>
      <c r="I60" t="s">
        <v>35</v>
      </c>
      <c r="J60">
        <f t="shared" si="0"/>
        <v>1</v>
      </c>
      <c r="K60">
        <f t="shared" si="1"/>
        <v>0</v>
      </c>
      <c r="L60">
        <f t="shared" si="2"/>
        <v>0</v>
      </c>
    </row>
    <row r="61" spans="1:12" x14ac:dyDescent="0.4">
      <c r="A61" t="s">
        <v>105</v>
      </c>
      <c r="B61" t="s">
        <v>38</v>
      </c>
      <c r="C61">
        <v>49</v>
      </c>
      <c r="D61" t="s">
        <v>52</v>
      </c>
      <c r="E61">
        <v>2</v>
      </c>
      <c r="F61">
        <v>1</v>
      </c>
      <c r="G61">
        <v>30</v>
      </c>
      <c r="H61">
        <v>4</v>
      </c>
      <c r="I61" t="s">
        <v>35</v>
      </c>
      <c r="J61">
        <f t="shared" si="0"/>
        <v>1</v>
      </c>
      <c r="K61">
        <f t="shared" si="1"/>
        <v>0</v>
      </c>
      <c r="L61">
        <f t="shared" si="2"/>
        <v>0</v>
      </c>
    </row>
    <row r="62" spans="1:12" x14ac:dyDescent="0.4">
      <c r="A62" t="s">
        <v>106</v>
      </c>
      <c r="B62" t="s">
        <v>33</v>
      </c>
      <c r="C62">
        <v>53</v>
      </c>
      <c r="D62" t="s">
        <v>34</v>
      </c>
      <c r="E62">
        <v>5</v>
      </c>
      <c r="F62">
        <v>0.25</v>
      </c>
      <c r="G62">
        <v>200</v>
      </c>
      <c r="H62">
        <v>2</v>
      </c>
      <c r="I62" t="s">
        <v>39</v>
      </c>
      <c r="J62">
        <f t="shared" si="0"/>
        <v>0</v>
      </c>
      <c r="K62">
        <f t="shared" si="1"/>
        <v>1</v>
      </c>
      <c r="L62">
        <f t="shared" si="2"/>
        <v>0</v>
      </c>
    </row>
    <row r="63" spans="1:12" x14ac:dyDescent="0.4">
      <c r="A63" t="s">
        <v>107</v>
      </c>
      <c r="B63" t="s">
        <v>33</v>
      </c>
      <c r="C63">
        <v>23</v>
      </c>
      <c r="D63" t="s">
        <v>52</v>
      </c>
      <c r="E63">
        <v>4</v>
      </c>
      <c r="F63">
        <v>0.75</v>
      </c>
      <c r="G63">
        <v>50</v>
      </c>
      <c r="H63">
        <v>2</v>
      </c>
      <c r="I63" t="s">
        <v>35</v>
      </c>
      <c r="J63">
        <f t="shared" si="0"/>
        <v>1</v>
      </c>
      <c r="K63">
        <f t="shared" si="1"/>
        <v>0</v>
      </c>
      <c r="L63">
        <f t="shared" si="2"/>
        <v>0</v>
      </c>
    </row>
    <row r="64" spans="1:12" x14ac:dyDescent="0.4">
      <c r="A64" t="s">
        <v>108</v>
      </c>
      <c r="B64" t="s">
        <v>38</v>
      </c>
      <c r="C64">
        <v>46</v>
      </c>
      <c r="D64" t="s">
        <v>52</v>
      </c>
      <c r="E64">
        <v>5</v>
      </c>
      <c r="F64">
        <v>1</v>
      </c>
      <c r="G64">
        <v>50</v>
      </c>
      <c r="H64">
        <v>2</v>
      </c>
      <c r="I64" t="s">
        <v>39</v>
      </c>
      <c r="J64">
        <f t="shared" si="0"/>
        <v>0</v>
      </c>
      <c r="K64">
        <f t="shared" si="1"/>
        <v>1</v>
      </c>
      <c r="L64">
        <f t="shared" si="2"/>
        <v>0</v>
      </c>
    </row>
    <row r="65" spans="1:12" x14ac:dyDescent="0.4">
      <c r="A65" t="s">
        <v>109</v>
      </c>
      <c r="B65" t="s">
        <v>38</v>
      </c>
      <c r="C65">
        <v>36</v>
      </c>
      <c r="D65" t="s">
        <v>34</v>
      </c>
      <c r="E65">
        <v>4</v>
      </c>
      <c r="F65">
        <v>0.5</v>
      </c>
      <c r="G65">
        <v>20</v>
      </c>
      <c r="H65">
        <v>4</v>
      </c>
      <c r="I65" t="s">
        <v>35</v>
      </c>
      <c r="J65">
        <f t="shared" si="0"/>
        <v>1</v>
      </c>
      <c r="K65">
        <f t="shared" si="1"/>
        <v>0</v>
      </c>
      <c r="L65">
        <f t="shared" si="2"/>
        <v>0</v>
      </c>
    </row>
    <row r="66" spans="1:12" x14ac:dyDescent="0.4">
      <c r="A66" t="s">
        <v>110</v>
      </c>
      <c r="B66" t="s">
        <v>38</v>
      </c>
      <c r="C66">
        <v>19</v>
      </c>
      <c r="D66" t="s">
        <v>34</v>
      </c>
      <c r="E66">
        <v>2</v>
      </c>
      <c r="F66">
        <v>2</v>
      </c>
      <c r="G66">
        <v>40</v>
      </c>
      <c r="H66">
        <v>4</v>
      </c>
      <c r="I66" t="s">
        <v>41</v>
      </c>
      <c r="J66">
        <f t="shared" si="0"/>
        <v>0</v>
      </c>
      <c r="K66">
        <f t="shared" si="1"/>
        <v>0</v>
      </c>
      <c r="L66">
        <f t="shared" si="2"/>
        <v>1</v>
      </c>
    </row>
    <row r="67" spans="1:12" x14ac:dyDescent="0.4">
      <c r="A67" t="s">
        <v>111</v>
      </c>
      <c r="B67" t="s">
        <v>33</v>
      </c>
      <c r="C67">
        <v>52</v>
      </c>
      <c r="D67" t="s">
        <v>52</v>
      </c>
      <c r="E67">
        <v>6</v>
      </c>
      <c r="F67">
        <v>0.75</v>
      </c>
      <c r="G67">
        <v>25</v>
      </c>
      <c r="H67">
        <v>3</v>
      </c>
      <c r="I67" t="s">
        <v>35</v>
      </c>
      <c r="J67">
        <f t="shared" ref="J67:J130" si="3">IF(I67="Radio", 1, 0)</f>
        <v>1</v>
      </c>
      <c r="K67">
        <f t="shared" ref="K67:K130" si="4">IF(I67="Public gatherings", 1, 0)</f>
        <v>0</v>
      </c>
      <c r="L67">
        <f t="shared" ref="L67:L130" si="5">IF(I67="Extension Services", 1, 0)</f>
        <v>0</v>
      </c>
    </row>
    <row r="68" spans="1:12" x14ac:dyDescent="0.4">
      <c r="A68" t="s">
        <v>112</v>
      </c>
      <c r="B68" t="s">
        <v>38</v>
      </c>
      <c r="C68">
        <v>40</v>
      </c>
      <c r="D68" t="s">
        <v>34</v>
      </c>
      <c r="E68">
        <v>5</v>
      </c>
      <c r="F68">
        <v>1</v>
      </c>
      <c r="G68">
        <v>100</v>
      </c>
      <c r="H68">
        <v>2</v>
      </c>
      <c r="I68" t="s">
        <v>50</v>
      </c>
      <c r="J68">
        <f t="shared" si="3"/>
        <v>0</v>
      </c>
      <c r="K68">
        <f t="shared" si="4"/>
        <v>0</v>
      </c>
      <c r="L68">
        <f t="shared" si="5"/>
        <v>0</v>
      </c>
    </row>
    <row r="69" spans="1:12" x14ac:dyDescent="0.4">
      <c r="A69" t="s">
        <v>113</v>
      </c>
      <c r="B69" t="s">
        <v>38</v>
      </c>
      <c r="C69">
        <v>49</v>
      </c>
      <c r="D69" t="s">
        <v>34</v>
      </c>
      <c r="E69">
        <v>2</v>
      </c>
      <c r="F69">
        <v>0.25</v>
      </c>
      <c r="G69">
        <v>50</v>
      </c>
      <c r="H69">
        <v>2</v>
      </c>
      <c r="I69" t="s">
        <v>41</v>
      </c>
      <c r="J69">
        <f t="shared" si="3"/>
        <v>0</v>
      </c>
      <c r="K69">
        <f t="shared" si="4"/>
        <v>0</v>
      </c>
      <c r="L69">
        <f t="shared" si="5"/>
        <v>1</v>
      </c>
    </row>
    <row r="70" spans="1:12" x14ac:dyDescent="0.4">
      <c r="A70" t="s">
        <v>114</v>
      </c>
      <c r="B70" t="s">
        <v>33</v>
      </c>
      <c r="C70">
        <v>26</v>
      </c>
      <c r="D70" t="s">
        <v>34</v>
      </c>
      <c r="E70">
        <v>5</v>
      </c>
      <c r="F70">
        <v>1.5</v>
      </c>
      <c r="G70">
        <v>25</v>
      </c>
      <c r="H70">
        <v>2</v>
      </c>
      <c r="I70" t="s">
        <v>35</v>
      </c>
      <c r="J70">
        <f t="shared" si="3"/>
        <v>1</v>
      </c>
      <c r="K70">
        <f t="shared" si="4"/>
        <v>0</v>
      </c>
      <c r="L70">
        <f t="shared" si="5"/>
        <v>0</v>
      </c>
    </row>
    <row r="71" spans="1:12" x14ac:dyDescent="0.4">
      <c r="A71" t="s">
        <v>115</v>
      </c>
      <c r="B71" t="s">
        <v>38</v>
      </c>
      <c r="C71">
        <v>42</v>
      </c>
      <c r="D71" t="s">
        <v>52</v>
      </c>
      <c r="E71">
        <v>3</v>
      </c>
      <c r="F71">
        <v>0.5</v>
      </c>
      <c r="G71">
        <v>120</v>
      </c>
      <c r="H71">
        <v>2</v>
      </c>
      <c r="I71" t="s">
        <v>41</v>
      </c>
      <c r="J71">
        <f t="shared" si="3"/>
        <v>0</v>
      </c>
      <c r="K71">
        <f t="shared" si="4"/>
        <v>0</v>
      </c>
      <c r="L71">
        <f t="shared" si="5"/>
        <v>1</v>
      </c>
    </row>
    <row r="72" spans="1:12" x14ac:dyDescent="0.4">
      <c r="A72" t="s">
        <v>116</v>
      </c>
      <c r="B72" t="s">
        <v>33</v>
      </c>
      <c r="C72">
        <v>45</v>
      </c>
      <c r="D72" t="s">
        <v>52</v>
      </c>
      <c r="E72">
        <v>9</v>
      </c>
      <c r="F72">
        <v>0.5</v>
      </c>
      <c r="G72">
        <v>50</v>
      </c>
      <c r="H72">
        <v>3</v>
      </c>
      <c r="I72" t="s">
        <v>98</v>
      </c>
      <c r="J72">
        <f t="shared" si="3"/>
        <v>0</v>
      </c>
      <c r="K72">
        <f t="shared" si="4"/>
        <v>0</v>
      </c>
      <c r="L72">
        <f t="shared" si="5"/>
        <v>0</v>
      </c>
    </row>
    <row r="73" spans="1:12" x14ac:dyDescent="0.4">
      <c r="A73" t="s">
        <v>117</v>
      </c>
      <c r="B73" t="s">
        <v>38</v>
      </c>
      <c r="C73">
        <v>29</v>
      </c>
      <c r="D73" t="s">
        <v>52</v>
      </c>
      <c r="E73">
        <v>5</v>
      </c>
      <c r="F73">
        <v>1</v>
      </c>
      <c r="G73">
        <v>20</v>
      </c>
      <c r="H73">
        <v>2</v>
      </c>
      <c r="I73" t="s">
        <v>39</v>
      </c>
      <c r="J73">
        <f t="shared" si="3"/>
        <v>0</v>
      </c>
      <c r="K73">
        <f t="shared" si="4"/>
        <v>1</v>
      </c>
      <c r="L73">
        <f t="shared" si="5"/>
        <v>0</v>
      </c>
    </row>
    <row r="74" spans="1:12" x14ac:dyDescent="0.4">
      <c r="A74" t="s">
        <v>118</v>
      </c>
      <c r="B74" t="s">
        <v>38</v>
      </c>
      <c r="C74">
        <v>50</v>
      </c>
      <c r="D74" t="s">
        <v>34</v>
      </c>
      <c r="E74">
        <v>3</v>
      </c>
      <c r="F74">
        <v>0.5</v>
      </c>
      <c r="G74">
        <v>40</v>
      </c>
      <c r="H74">
        <v>4</v>
      </c>
      <c r="I74" t="s">
        <v>39</v>
      </c>
      <c r="J74">
        <f t="shared" si="3"/>
        <v>0</v>
      </c>
      <c r="K74">
        <f t="shared" si="4"/>
        <v>1</v>
      </c>
      <c r="L74">
        <f t="shared" si="5"/>
        <v>0</v>
      </c>
    </row>
    <row r="75" spans="1:12" x14ac:dyDescent="0.4">
      <c r="A75" t="s">
        <v>119</v>
      </c>
      <c r="B75" t="s">
        <v>38</v>
      </c>
      <c r="C75">
        <v>43</v>
      </c>
      <c r="D75" t="s">
        <v>34</v>
      </c>
      <c r="E75">
        <v>4</v>
      </c>
      <c r="F75">
        <v>0.25</v>
      </c>
      <c r="G75">
        <v>20</v>
      </c>
      <c r="H75">
        <v>3</v>
      </c>
      <c r="I75" t="s">
        <v>35</v>
      </c>
      <c r="J75">
        <f t="shared" si="3"/>
        <v>1</v>
      </c>
      <c r="K75">
        <f t="shared" si="4"/>
        <v>0</v>
      </c>
      <c r="L75">
        <f t="shared" si="5"/>
        <v>0</v>
      </c>
    </row>
    <row r="76" spans="1:12" x14ac:dyDescent="0.4">
      <c r="A76" t="s">
        <v>120</v>
      </c>
      <c r="B76" t="s">
        <v>38</v>
      </c>
      <c r="C76">
        <v>54</v>
      </c>
      <c r="D76" t="s">
        <v>52</v>
      </c>
      <c r="E76">
        <v>5</v>
      </c>
      <c r="F76">
        <v>0.5</v>
      </c>
      <c r="G76">
        <v>100</v>
      </c>
      <c r="H76">
        <v>3</v>
      </c>
      <c r="I76" t="s">
        <v>39</v>
      </c>
      <c r="J76">
        <f t="shared" si="3"/>
        <v>0</v>
      </c>
      <c r="K76">
        <f t="shared" si="4"/>
        <v>1</v>
      </c>
      <c r="L76">
        <f t="shared" si="5"/>
        <v>0</v>
      </c>
    </row>
    <row r="77" spans="1:12" x14ac:dyDescent="0.4">
      <c r="A77" t="s">
        <v>121</v>
      </c>
      <c r="B77" t="s">
        <v>38</v>
      </c>
      <c r="C77">
        <v>24</v>
      </c>
      <c r="D77" t="s">
        <v>52</v>
      </c>
      <c r="E77">
        <v>4</v>
      </c>
      <c r="F77">
        <v>3</v>
      </c>
      <c r="G77">
        <v>60</v>
      </c>
      <c r="H77">
        <v>2</v>
      </c>
      <c r="I77" t="s">
        <v>35</v>
      </c>
      <c r="J77">
        <f t="shared" si="3"/>
        <v>1</v>
      </c>
      <c r="K77">
        <f t="shared" si="4"/>
        <v>0</v>
      </c>
      <c r="L77">
        <f t="shared" si="5"/>
        <v>0</v>
      </c>
    </row>
    <row r="78" spans="1:12" x14ac:dyDescent="0.4">
      <c r="A78" t="s">
        <v>122</v>
      </c>
      <c r="B78" t="s">
        <v>38</v>
      </c>
      <c r="C78">
        <v>52</v>
      </c>
      <c r="D78" t="s">
        <v>34</v>
      </c>
      <c r="E78">
        <v>4</v>
      </c>
      <c r="F78">
        <v>1</v>
      </c>
      <c r="G78">
        <v>50</v>
      </c>
      <c r="H78">
        <v>2</v>
      </c>
      <c r="I78" t="s">
        <v>39</v>
      </c>
      <c r="J78">
        <f t="shared" si="3"/>
        <v>0</v>
      </c>
      <c r="K78">
        <f t="shared" si="4"/>
        <v>1</v>
      </c>
      <c r="L78">
        <f t="shared" si="5"/>
        <v>0</v>
      </c>
    </row>
    <row r="79" spans="1:12" x14ac:dyDescent="0.4">
      <c r="A79" t="s">
        <v>123</v>
      </c>
      <c r="B79" t="s">
        <v>38</v>
      </c>
      <c r="C79">
        <v>38</v>
      </c>
      <c r="D79" t="s">
        <v>34</v>
      </c>
      <c r="E79">
        <v>3</v>
      </c>
      <c r="F79">
        <v>1</v>
      </c>
      <c r="G79">
        <v>30</v>
      </c>
      <c r="H79">
        <v>3</v>
      </c>
      <c r="I79" t="s">
        <v>50</v>
      </c>
      <c r="J79">
        <f t="shared" si="3"/>
        <v>0</v>
      </c>
      <c r="K79">
        <f t="shared" si="4"/>
        <v>0</v>
      </c>
      <c r="L79">
        <f t="shared" si="5"/>
        <v>0</v>
      </c>
    </row>
    <row r="80" spans="1:12" x14ac:dyDescent="0.4">
      <c r="A80" t="s">
        <v>124</v>
      </c>
      <c r="B80" t="s">
        <v>38</v>
      </c>
      <c r="C80">
        <v>45</v>
      </c>
      <c r="D80" t="s">
        <v>34</v>
      </c>
      <c r="E80">
        <v>5</v>
      </c>
      <c r="F80">
        <v>0.25</v>
      </c>
      <c r="G80">
        <v>50</v>
      </c>
      <c r="H80">
        <v>2</v>
      </c>
      <c r="I80" t="s">
        <v>39</v>
      </c>
      <c r="J80">
        <f t="shared" si="3"/>
        <v>0</v>
      </c>
      <c r="K80">
        <f t="shared" si="4"/>
        <v>1</v>
      </c>
      <c r="L80">
        <f t="shared" si="5"/>
        <v>0</v>
      </c>
    </row>
    <row r="81" spans="1:12" x14ac:dyDescent="0.4">
      <c r="A81" t="s">
        <v>125</v>
      </c>
      <c r="B81" t="s">
        <v>33</v>
      </c>
      <c r="C81">
        <v>43</v>
      </c>
      <c r="D81" t="s">
        <v>52</v>
      </c>
      <c r="E81">
        <v>2</v>
      </c>
      <c r="F81">
        <v>1</v>
      </c>
      <c r="G81">
        <v>50</v>
      </c>
      <c r="H81">
        <v>3</v>
      </c>
      <c r="I81" t="s">
        <v>50</v>
      </c>
      <c r="J81">
        <f t="shared" si="3"/>
        <v>0</v>
      </c>
      <c r="K81">
        <f t="shared" si="4"/>
        <v>0</v>
      </c>
      <c r="L81">
        <f t="shared" si="5"/>
        <v>0</v>
      </c>
    </row>
    <row r="82" spans="1:12" x14ac:dyDescent="0.4">
      <c r="A82" t="s">
        <v>126</v>
      </c>
      <c r="B82" t="s">
        <v>38</v>
      </c>
      <c r="C82">
        <v>40</v>
      </c>
      <c r="D82" t="s">
        <v>52</v>
      </c>
      <c r="E82">
        <v>5</v>
      </c>
      <c r="F82">
        <v>0.5</v>
      </c>
      <c r="G82">
        <v>20</v>
      </c>
      <c r="H82">
        <v>4</v>
      </c>
      <c r="I82" t="s">
        <v>41</v>
      </c>
      <c r="J82">
        <f t="shared" si="3"/>
        <v>0</v>
      </c>
      <c r="K82">
        <f t="shared" si="4"/>
        <v>0</v>
      </c>
      <c r="L82">
        <f t="shared" si="5"/>
        <v>1</v>
      </c>
    </row>
    <row r="83" spans="1:12" x14ac:dyDescent="0.4">
      <c r="A83" t="s">
        <v>127</v>
      </c>
      <c r="B83" t="s">
        <v>38</v>
      </c>
      <c r="C83">
        <v>44</v>
      </c>
      <c r="D83" t="s">
        <v>52</v>
      </c>
      <c r="E83">
        <v>6</v>
      </c>
      <c r="F83">
        <v>0.25</v>
      </c>
      <c r="G83">
        <v>50</v>
      </c>
      <c r="H83">
        <v>5</v>
      </c>
      <c r="I83" t="s">
        <v>35</v>
      </c>
      <c r="J83">
        <f t="shared" si="3"/>
        <v>1</v>
      </c>
      <c r="K83">
        <f t="shared" si="4"/>
        <v>0</v>
      </c>
      <c r="L83">
        <f t="shared" si="5"/>
        <v>0</v>
      </c>
    </row>
    <row r="84" spans="1:12" x14ac:dyDescent="0.4">
      <c r="A84" t="s">
        <v>128</v>
      </c>
      <c r="B84" t="s">
        <v>33</v>
      </c>
      <c r="C84">
        <v>54</v>
      </c>
      <c r="D84" t="s">
        <v>34</v>
      </c>
      <c r="E84">
        <v>5</v>
      </c>
      <c r="F84">
        <v>1</v>
      </c>
      <c r="G84">
        <v>50</v>
      </c>
      <c r="H84">
        <v>3</v>
      </c>
      <c r="I84" t="s">
        <v>35</v>
      </c>
      <c r="J84">
        <f t="shared" si="3"/>
        <v>1</v>
      </c>
      <c r="K84">
        <f t="shared" si="4"/>
        <v>0</v>
      </c>
      <c r="L84">
        <f t="shared" si="5"/>
        <v>0</v>
      </c>
    </row>
    <row r="85" spans="1:12" x14ac:dyDescent="0.4">
      <c r="A85" t="s">
        <v>129</v>
      </c>
      <c r="B85" t="s">
        <v>38</v>
      </c>
      <c r="C85">
        <v>75</v>
      </c>
      <c r="D85" t="s">
        <v>34</v>
      </c>
      <c r="E85">
        <v>7</v>
      </c>
      <c r="F85">
        <v>0.5</v>
      </c>
      <c r="G85">
        <v>50</v>
      </c>
      <c r="H85">
        <v>3</v>
      </c>
      <c r="I85" t="s">
        <v>35</v>
      </c>
      <c r="J85">
        <f t="shared" si="3"/>
        <v>1</v>
      </c>
      <c r="K85">
        <f t="shared" si="4"/>
        <v>0</v>
      </c>
      <c r="L85">
        <f t="shared" si="5"/>
        <v>0</v>
      </c>
    </row>
    <row r="86" spans="1:12" x14ac:dyDescent="0.4">
      <c r="A86" t="s">
        <v>130</v>
      </c>
      <c r="B86" t="s">
        <v>38</v>
      </c>
      <c r="C86">
        <v>51</v>
      </c>
      <c r="D86" t="s">
        <v>52</v>
      </c>
      <c r="E86">
        <v>2</v>
      </c>
      <c r="F86">
        <v>0.25</v>
      </c>
      <c r="G86">
        <v>20</v>
      </c>
      <c r="H86">
        <v>3</v>
      </c>
      <c r="I86" t="s">
        <v>35</v>
      </c>
      <c r="J86">
        <f t="shared" si="3"/>
        <v>1</v>
      </c>
      <c r="K86">
        <f t="shared" si="4"/>
        <v>0</v>
      </c>
      <c r="L86">
        <f t="shared" si="5"/>
        <v>0</v>
      </c>
    </row>
    <row r="87" spans="1:12" x14ac:dyDescent="0.4">
      <c r="A87" t="s">
        <v>131</v>
      </c>
      <c r="B87" t="s">
        <v>38</v>
      </c>
      <c r="C87">
        <v>69</v>
      </c>
      <c r="D87" t="s">
        <v>34</v>
      </c>
      <c r="E87">
        <v>6</v>
      </c>
      <c r="F87">
        <v>0.25</v>
      </c>
      <c r="G87">
        <v>25</v>
      </c>
      <c r="H87">
        <v>3</v>
      </c>
      <c r="I87" t="s">
        <v>50</v>
      </c>
      <c r="J87">
        <f t="shared" si="3"/>
        <v>0</v>
      </c>
      <c r="K87">
        <f t="shared" si="4"/>
        <v>0</v>
      </c>
      <c r="L87">
        <f t="shared" si="5"/>
        <v>0</v>
      </c>
    </row>
    <row r="88" spans="1:12" x14ac:dyDescent="0.4">
      <c r="A88" t="s">
        <v>132</v>
      </c>
      <c r="B88" t="s">
        <v>38</v>
      </c>
      <c r="C88">
        <v>31</v>
      </c>
      <c r="D88" t="s">
        <v>34</v>
      </c>
      <c r="E88">
        <v>5</v>
      </c>
      <c r="F88">
        <v>0.5</v>
      </c>
      <c r="G88">
        <v>100</v>
      </c>
      <c r="H88">
        <v>3</v>
      </c>
      <c r="I88" t="s">
        <v>41</v>
      </c>
      <c r="J88">
        <f t="shared" si="3"/>
        <v>0</v>
      </c>
      <c r="K88">
        <f t="shared" si="4"/>
        <v>0</v>
      </c>
      <c r="L88">
        <f t="shared" si="5"/>
        <v>1</v>
      </c>
    </row>
    <row r="89" spans="1:12" x14ac:dyDescent="0.4">
      <c r="A89" t="s">
        <v>133</v>
      </c>
      <c r="B89" t="s">
        <v>38</v>
      </c>
      <c r="C89">
        <v>41</v>
      </c>
      <c r="D89" t="s">
        <v>34</v>
      </c>
      <c r="E89">
        <v>6</v>
      </c>
      <c r="F89">
        <v>0.75</v>
      </c>
      <c r="G89">
        <v>50</v>
      </c>
      <c r="H89">
        <v>2</v>
      </c>
      <c r="I89" t="s">
        <v>41</v>
      </c>
      <c r="J89">
        <f t="shared" si="3"/>
        <v>0</v>
      </c>
      <c r="K89">
        <f t="shared" si="4"/>
        <v>0</v>
      </c>
      <c r="L89">
        <f t="shared" si="5"/>
        <v>1</v>
      </c>
    </row>
    <row r="90" spans="1:12" x14ac:dyDescent="0.4">
      <c r="A90" t="s">
        <v>134</v>
      </c>
      <c r="B90" t="s">
        <v>38</v>
      </c>
      <c r="C90">
        <v>47</v>
      </c>
      <c r="D90" t="s">
        <v>34</v>
      </c>
      <c r="E90">
        <v>2</v>
      </c>
      <c r="F90">
        <v>0.25</v>
      </c>
      <c r="G90">
        <v>50</v>
      </c>
      <c r="H90">
        <v>3</v>
      </c>
      <c r="I90" t="s">
        <v>39</v>
      </c>
      <c r="J90">
        <f t="shared" si="3"/>
        <v>0</v>
      </c>
      <c r="K90">
        <f t="shared" si="4"/>
        <v>1</v>
      </c>
      <c r="L90">
        <f t="shared" si="5"/>
        <v>0</v>
      </c>
    </row>
    <row r="91" spans="1:12" x14ac:dyDescent="0.4">
      <c r="A91" t="s">
        <v>135</v>
      </c>
      <c r="B91" t="s">
        <v>38</v>
      </c>
      <c r="C91">
        <v>19</v>
      </c>
      <c r="D91" t="s">
        <v>52</v>
      </c>
      <c r="E91">
        <v>5</v>
      </c>
      <c r="F91">
        <v>2</v>
      </c>
      <c r="G91">
        <v>150</v>
      </c>
      <c r="H91">
        <v>2</v>
      </c>
      <c r="I91" t="s">
        <v>41</v>
      </c>
      <c r="J91">
        <f t="shared" si="3"/>
        <v>0</v>
      </c>
      <c r="K91">
        <f t="shared" si="4"/>
        <v>0</v>
      </c>
      <c r="L91">
        <f t="shared" si="5"/>
        <v>1</v>
      </c>
    </row>
    <row r="92" spans="1:12" x14ac:dyDescent="0.4">
      <c r="A92" t="s">
        <v>136</v>
      </c>
      <c r="B92" t="s">
        <v>33</v>
      </c>
      <c r="C92">
        <v>59</v>
      </c>
      <c r="D92" t="s">
        <v>52</v>
      </c>
      <c r="E92">
        <v>4</v>
      </c>
      <c r="F92">
        <v>0.5</v>
      </c>
      <c r="G92">
        <v>100</v>
      </c>
      <c r="H92">
        <v>5</v>
      </c>
      <c r="I92" t="s">
        <v>41</v>
      </c>
      <c r="J92">
        <f t="shared" si="3"/>
        <v>0</v>
      </c>
      <c r="K92">
        <f t="shared" si="4"/>
        <v>0</v>
      </c>
      <c r="L92">
        <f t="shared" si="5"/>
        <v>1</v>
      </c>
    </row>
    <row r="93" spans="1:12" x14ac:dyDescent="0.4">
      <c r="A93" t="s">
        <v>137</v>
      </c>
      <c r="B93" t="s">
        <v>33</v>
      </c>
      <c r="C93">
        <v>32</v>
      </c>
      <c r="D93" t="s">
        <v>77</v>
      </c>
      <c r="E93">
        <v>6</v>
      </c>
      <c r="F93">
        <v>0.5</v>
      </c>
      <c r="G93">
        <v>30</v>
      </c>
      <c r="H93">
        <v>3</v>
      </c>
      <c r="I93" t="s">
        <v>41</v>
      </c>
      <c r="J93">
        <f t="shared" si="3"/>
        <v>0</v>
      </c>
      <c r="K93">
        <f t="shared" si="4"/>
        <v>0</v>
      </c>
      <c r="L93">
        <f t="shared" si="5"/>
        <v>1</v>
      </c>
    </row>
    <row r="94" spans="1:12" x14ac:dyDescent="0.4">
      <c r="A94" t="s">
        <v>138</v>
      </c>
      <c r="B94" t="s">
        <v>38</v>
      </c>
      <c r="C94">
        <v>19</v>
      </c>
      <c r="D94" t="s">
        <v>52</v>
      </c>
      <c r="E94">
        <v>4</v>
      </c>
      <c r="F94">
        <v>1.5</v>
      </c>
      <c r="G94">
        <v>50</v>
      </c>
      <c r="H94">
        <v>2</v>
      </c>
      <c r="I94" t="s">
        <v>39</v>
      </c>
      <c r="J94">
        <f t="shared" si="3"/>
        <v>0</v>
      </c>
      <c r="K94">
        <f t="shared" si="4"/>
        <v>1</v>
      </c>
      <c r="L94">
        <f t="shared" si="5"/>
        <v>0</v>
      </c>
    </row>
    <row r="95" spans="1:12" x14ac:dyDescent="0.4">
      <c r="A95" t="s">
        <v>139</v>
      </c>
      <c r="B95" t="s">
        <v>38</v>
      </c>
      <c r="C95">
        <v>27</v>
      </c>
      <c r="D95" t="s">
        <v>34</v>
      </c>
      <c r="E95">
        <v>4</v>
      </c>
      <c r="F95">
        <v>1</v>
      </c>
      <c r="G95">
        <v>50</v>
      </c>
      <c r="H95">
        <v>3</v>
      </c>
      <c r="I95" t="s">
        <v>35</v>
      </c>
      <c r="J95">
        <f t="shared" si="3"/>
        <v>1</v>
      </c>
      <c r="K95">
        <f t="shared" si="4"/>
        <v>0</v>
      </c>
      <c r="L95">
        <f t="shared" si="5"/>
        <v>0</v>
      </c>
    </row>
    <row r="96" spans="1:12" x14ac:dyDescent="0.4">
      <c r="A96" t="s">
        <v>140</v>
      </c>
      <c r="B96" t="s">
        <v>38</v>
      </c>
      <c r="C96">
        <v>53</v>
      </c>
      <c r="D96" t="s">
        <v>34</v>
      </c>
      <c r="E96">
        <v>2</v>
      </c>
      <c r="F96">
        <v>0.75</v>
      </c>
      <c r="G96">
        <v>20</v>
      </c>
      <c r="H96">
        <v>4</v>
      </c>
      <c r="I96" t="s">
        <v>41</v>
      </c>
      <c r="J96">
        <f t="shared" si="3"/>
        <v>0</v>
      </c>
      <c r="K96">
        <f t="shared" si="4"/>
        <v>0</v>
      </c>
      <c r="L96">
        <f t="shared" si="5"/>
        <v>1</v>
      </c>
    </row>
    <row r="97" spans="1:12" x14ac:dyDescent="0.4">
      <c r="A97" t="s">
        <v>141</v>
      </c>
      <c r="B97" t="s">
        <v>38</v>
      </c>
      <c r="C97">
        <v>20</v>
      </c>
      <c r="D97" t="s">
        <v>34</v>
      </c>
      <c r="E97">
        <v>2</v>
      </c>
      <c r="F97">
        <v>0.5</v>
      </c>
      <c r="G97">
        <v>40</v>
      </c>
      <c r="H97">
        <v>3</v>
      </c>
      <c r="I97" t="s">
        <v>41</v>
      </c>
      <c r="J97">
        <f t="shared" si="3"/>
        <v>0</v>
      </c>
      <c r="K97">
        <f t="shared" si="4"/>
        <v>0</v>
      </c>
      <c r="L97">
        <f t="shared" si="5"/>
        <v>1</v>
      </c>
    </row>
    <row r="98" spans="1:12" x14ac:dyDescent="0.4">
      <c r="A98" t="s">
        <v>142</v>
      </c>
      <c r="B98" t="s">
        <v>33</v>
      </c>
      <c r="C98">
        <v>39</v>
      </c>
      <c r="D98" t="s">
        <v>52</v>
      </c>
      <c r="E98">
        <v>9</v>
      </c>
      <c r="F98">
        <v>0.5</v>
      </c>
      <c r="G98">
        <v>120</v>
      </c>
      <c r="H98">
        <v>3</v>
      </c>
      <c r="I98" t="s">
        <v>98</v>
      </c>
      <c r="J98">
        <f t="shared" si="3"/>
        <v>0</v>
      </c>
      <c r="K98">
        <f t="shared" si="4"/>
        <v>0</v>
      </c>
      <c r="L98">
        <f t="shared" si="5"/>
        <v>0</v>
      </c>
    </row>
    <row r="99" spans="1:12" x14ac:dyDescent="0.4">
      <c r="A99" t="s">
        <v>143</v>
      </c>
      <c r="B99" t="s">
        <v>33</v>
      </c>
      <c r="C99">
        <v>29</v>
      </c>
      <c r="D99" t="s">
        <v>52</v>
      </c>
      <c r="E99">
        <v>1</v>
      </c>
      <c r="F99">
        <v>1</v>
      </c>
      <c r="G99">
        <v>50</v>
      </c>
      <c r="H99">
        <v>3</v>
      </c>
      <c r="I99" t="s">
        <v>35</v>
      </c>
      <c r="J99">
        <f t="shared" si="3"/>
        <v>1</v>
      </c>
      <c r="K99">
        <f t="shared" si="4"/>
        <v>0</v>
      </c>
      <c r="L99">
        <f t="shared" si="5"/>
        <v>0</v>
      </c>
    </row>
    <row r="100" spans="1:12" x14ac:dyDescent="0.4">
      <c r="A100" t="s">
        <v>144</v>
      </c>
      <c r="B100" t="s">
        <v>38</v>
      </c>
      <c r="C100">
        <v>36</v>
      </c>
      <c r="D100" t="s">
        <v>34</v>
      </c>
      <c r="E100">
        <v>4</v>
      </c>
      <c r="F100">
        <v>0.25</v>
      </c>
      <c r="G100">
        <v>150</v>
      </c>
      <c r="H100">
        <v>3</v>
      </c>
      <c r="I100" t="s">
        <v>35</v>
      </c>
      <c r="J100">
        <f t="shared" si="3"/>
        <v>1</v>
      </c>
      <c r="K100">
        <f t="shared" si="4"/>
        <v>0</v>
      </c>
      <c r="L100">
        <f t="shared" si="5"/>
        <v>0</v>
      </c>
    </row>
    <row r="101" spans="1:12" x14ac:dyDescent="0.4">
      <c r="A101" t="s">
        <v>145</v>
      </c>
      <c r="B101" t="s">
        <v>33</v>
      </c>
      <c r="C101">
        <v>18</v>
      </c>
      <c r="D101" t="s">
        <v>34</v>
      </c>
      <c r="E101">
        <v>1</v>
      </c>
      <c r="F101">
        <v>2</v>
      </c>
      <c r="G101">
        <v>100</v>
      </c>
      <c r="H101">
        <v>4</v>
      </c>
      <c r="I101" t="s">
        <v>39</v>
      </c>
      <c r="J101">
        <f t="shared" si="3"/>
        <v>0</v>
      </c>
      <c r="K101">
        <f t="shared" si="4"/>
        <v>1</v>
      </c>
      <c r="L101">
        <f t="shared" si="5"/>
        <v>0</v>
      </c>
    </row>
    <row r="102" spans="1:12" x14ac:dyDescent="0.4">
      <c r="A102" t="s">
        <v>146</v>
      </c>
      <c r="B102" t="s">
        <v>38</v>
      </c>
      <c r="C102">
        <v>67</v>
      </c>
      <c r="D102" t="s">
        <v>34</v>
      </c>
      <c r="E102">
        <v>4</v>
      </c>
      <c r="F102">
        <v>0.5</v>
      </c>
      <c r="G102">
        <v>25</v>
      </c>
      <c r="H102">
        <v>2</v>
      </c>
      <c r="I102" t="s">
        <v>35</v>
      </c>
      <c r="J102">
        <f t="shared" si="3"/>
        <v>1</v>
      </c>
      <c r="K102">
        <f t="shared" si="4"/>
        <v>0</v>
      </c>
      <c r="L102">
        <f t="shared" si="5"/>
        <v>0</v>
      </c>
    </row>
    <row r="103" spans="1:12" x14ac:dyDescent="0.4">
      <c r="A103" t="s">
        <v>147</v>
      </c>
      <c r="B103" t="s">
        <v>38</v>
      </c>
      <c r="C103">
        <v>56</v>
      </c>
      <c r="D103" t="s">
        <v>34</v>
      </c>
      <c r="E103">
        <v>8</v>
      </c>
      <c r="F103">
        <v>0.5</v>
      </c>
      <c r="G103">
        <v>200</v>
      </c>
      <c r="H103">
        <v>2</v>
      </c>
      <c r="I103" t="s">
        <v>35</v>
      </c>
      <c r="J103">
        <f t="shared" si="3"/>
        <v>1</v>
      </c>
      <c r="K103">
        <f t="shared" si="4"/>
        <v>0</v>
      </c>
      <c r="L103">
        <f t="shared" si="5"/>
        <v>0</v>
      </c>
    </row>
    <row r="104" spans="1:12" x14ac:dyDescent="0.4">
      <c r="A104" t="s">
        <v>148</v>
      </c>
      <c r="B104" t="s">
        <v>38</v>
      </c>
      <c r="C104">
        <v>74</v>
      </c>
      <c r="D104" t="s">
        <v>34</v>
      </c>
      <c r="E104">
        <v>4</v>
      </c>
      <c r="F104">
        <v>0.25</v>
      </c>
      <c r="G104">
        <v>30</v>
      </c>
      <c r="H104">
        <v>3</v>
      </c>
      <c r="I104" t="s">
        <v>39</v>
      </c>
      <c r="J104">
        <f t="shared" si="3"/>
        <v>0</v>
      </c>
      <c r="K104">
        <f t="shared" si="4"/>
        <v>1</v>
      </c>
      <c r="L104">
        <f t="shared" si="5"/>
        <v>0</v>
      </c>
    </row>
    <row r="105" spans="1:12" x14ac:dyDescent="0.4">
      <c r="A105" t="s">
        <v>149</v>
      </c>
      <c r="B105" t="s">
        <v>38</v>
      </c>
      <c r="C105">
        <v>47</v>
      </c>
      <c r="D105" t="s">
        <v>34</v>
      </c>
      <c r="E105">
        <v>2</v>
      </c>
      <c r="F105">
        <v>1</v>
      </c>
      <c r="G105">
        <v>50</v>
      </c>
      <c r="H105">
        <v>2</v>
      </c>
      <c r="I105" t="s">
        <v>41</v>
      </c>
      <c r="J105">
        <f t="shared" si="3"/>
        <v>0</v>
      </c>
      <c r="K105">
        <f t="shared" si="4"/>
        <v>0</v>
      </c>
      <c r="L105">
        <f t="shared" si="5"/>
        <v>1</v>
      </c>
    </row>
    <row r="106" spans="1:12" x14ac:dyDescent="0.4">
      <c r="A106" t="s">
        <v>150</v>
      </c>
      <c r="B106" t="s">
        <v>33</v>
      </c>
      <c r="C106">
        <v>61</v>
      </c>
      <c r="D106" t="s">
        <v>34</v>
      </c>
      <c r="E106">
        <v>3</v>
      </c>
      <c r="F106">
        <v>0.5</v>
      </c>
      <c r="G106">
        <v>50</v>
      </c>
      <c r="H106">
        <v>6</v>
      </c>
      <c r="I106" t="s">
        <v>35</v>
      </c>
      <c r="J106">
        <f t="shared" si="3"/>
        <v>1</v>
      </c>
      <c r="K106">
        <f t="shared" si="4"/>
        <v>0</v>
      </c>
      <c r="L106">
        <f t="shared" si="5"/>
        <v>0</v>
      </c>
    </row>
    <row r="107" spans="1:12" x14ac:dyDescent="0.4">
      <c r="A107" t="s">
        <v>151</v>
      </c>
      <c r="B107" t="s">
        <v>38</v>
      </c>
      <c r="C107">
        <v>50</v>
      </c>
      <c r="D107" t="s">
        <v>52</v>
      </c>
      <c r="E107">
        <v>4</v>
      </c>
      <c r="F107">
        <v>0.5</v>
      </c>
      <c r="G107">
        <v>31</v>
      </c>
      <c r="H107">
        <v>3</v>
      </c>
      <c r="I107" t="s">
        <v>35</v>
      </c>
      <c r="J107">
        <f t="shared" si="3"/>
        <v>1</v>
      </c>
      <c r="K107">
        <f t="shared" si="4"/>
        <v>0</v>
      </c>
      <c r="L107">
        <f t="shared" si="5"/>
        <v>0</v>
      </c>
    </row>
    <row r="108" spans="1:12" x14ac:dyDescent="0.4">
      <c r="A108" t="s">
        <v>152</v>
      </c>
      <c r="B108" t="s">
        <v>38</v>
      </c>
      <c r="C108">
        <v>48</v>
      </c>
      <c r="D108" t="s">
        <v>34</v>
      </c>
      <c r="E108">
        <v>2</v>
      </c>
      <c r="F108">
        <v>0.5</v>
      </c>
      <c r="G108">
        <v>50</v>
      </c>
      <c r="H108">
        <v>5</v>
      </c>
      <c r="I108" t="s">
        <v>41</v>
      </c>
      <c r="J108">
        <f t="shared" si="3"/>
        <v>0</v>
      </c>
      <c r="K108">
        <f t="shared" si="4"/>
        <v>0</v>
      </c>
      <c r="L108">
        <f t="shared" si="5"/>
        <v>1</v>
      </c>
    </row>
    <row r="109" spans="1:12" x14ac:dyDescent="0.4">
      <c r="A109" t="s">
        <v>153</v>
      </c>
      <c r="B109" t="s">
        <v>33</v>
      </c>
      <c r="C109">
        <v>31</v>
      </c>
      <c r="D109" t="s">
        <v>34</v>
      </c>
      <c r="E109">
        <v>4</v>
      </c>
      <c r="F109">
        <v>1</v>
      </c>
      <c r="G109">
        <v>20</v>
      </c>
      <c r="H109">
        <v>2</v>
      </c>
      <c r="I109" t="s">
        <v>35</v>
      </c>
      <c r="J109">
        <f t="shared" si="3"/>
        <v>1</v>
      </c>
      <c r="K109">
        <f t="shared" si="4"/>
        <v>0</v>
      </c>
      <c r="L109">
        <f t="shared" si="5"/>
        <v>0</v>
      </c>
    </row>
    <row r="110" spans="1:12" x14ac:dyDescent="0.4">
      <c r="A110" t="s">
        <v>154</v>
      </c>
      <c r="B110" t="s">
        <v>33</v>
      </c>
      <c r="C110">
        <v>65</v>
      </c>
      <c r="D110" t="s">
        <v>52</v>
      </c>
      <c r="E110">
        <v>4</v>
      </c>
      <c r="F110">
        <v>0.5</v>
      </c>
      <c r="G110">
        <v>50</v>
      </c>
      <c r="H110">
        <v>3</v>
      </c>
      <c r="I110" t="s">
        <v>41</v>
      </c>
      <c r="J110">
        <f t="shared" si="3"/>
        <v>0</v>
      </c>
      <c r="K110">
        <f t="shared" si="4"/>
        <v>0</v>
      </c>
      <c r="L110">
        <f t="shared" si="5"/>
        <v>1</v>
      </c>
    </row>
    <row r="111" spans="1:12" x14ac:dyDescent="0.4">
      <c r="A111" t="s">
        <v>155</v>
      </c>
      <c r="B111" t="s">
        <v>38</v>
      </c>
      <c r="C111">
        <v>47</v>
      </c>
      <c r="D111" t="s">
        <v>52</v>
      </c>
      <c r="E111">
        <v>4</v>
      </c>
      <c r="F111">
        <v>1</v>
      </c>
      <c r="G111">
        <v>100</v>
      </c>
      <c r="H111">
        <v>3</v>
      </c>
      <c r="I111" t="s">
        <v>41</v>
      </c>
      <c r="J111">
        <f t="shared" si="3"/>
        <v>0</v>
      </c>
      <c r="K111">
        <f t="shared" si="4"/>
        <v>0</v>
      </c>
      <c r="L111">
        <f t="shared" si="5"/>
        <v>1</v>
      </c>
    </row>
    <row r="112" spans="1:12" x14ac:dyDescent="0.4">
      <c r="A112" t="s">
        <v>156</v>
      </c>
      <c r="B112" t="s">
        <v>38</v>
      </c>
      <c r="C112">
        <v>62</v>
      </c>
      <c r="D112" t="s">
        <v>34</v>
      </c>
      <c r="E112">
        <v>3</v>
      </c>
      <c r="F112">
        <v>0.5</v>
      </c>
      <c r="G112">
        <v>20</v>
      </c>
      <c r="H112">
        <v>2</v>
      </c>
      <c r="I112" t="s">
        <v>35</v>
      </c>
      <c r="J112">
        <f t="shared" si="3"/>
        <v>1</v>
      </c>
      <c r="K112">
        <f t="shared" si="4"/>
        <v>0</v>
      </c>
      <c r="L112">
        <f t="shared" si="5"/>
        <v>0</v>
      </c>
    </row>
    <row r="113" spans="1:12" x14ac:dyDescent="0.4">
      <c r="A113" t="s">
        <v>157</v>
      </c>
      <c r="B113" t="s">
        <v>38</v>
      </c>
      <c r="C113">
        <v>39</v>
      </c>
      <c r="D113" t="s">
        <v>34</v>
      </c>
      <c r="E113">
        <v>2</v>
      </c>
      <c r="F113">
        <v>2</v>
      </c>
      <c r="G113">
        <v>50</v>
      </c>
      <c r="H113">
        <v>4</v>
      </c>
      <c r="I113" t="s">
        <v>39</v>
      </c>
      <c r="J113">
        <f t="shared" si="3"/>
        <v>0</v>
      </c>
      <c r="K113">
        <f t="shared" si="4"/>
        <v>1</v>
      </c>
      <c r="L113">
        <f t="shared" si="5"/>
        <v>0</v>
      </c>
    </row>
    <row r="114" spans="1:12" x14ac:dyDescent="0.4">
      <c r="A114" t="s">
        <v>158</v>
      </c>
      <c r="B114" t="s">
        <v>33</v>
      </c>
      <c r="C114">
        <v>50</v>
      </c>
      <c r="D114" t="s">
        <v>34</v>
      </c>
      <c r="E114">
        <v>3</v>
      </c>
      <c r="F114">
        <v>0.25</v>
      </c>
      <c r="G114">
        <v>40</v>
      </c>
      <c r="H114">
        <v>4</v>
      </c>
      <c r="I114" t="s">
        <v>35</v>
      </c>
      <c r="J114">
        <f t="shared" si="3"/>
        <v>1</v>
      </c>
      <c r="K114">
        <f t="shared" si="4"/>
        <v>0</v>
      </c>
      <c r="L114">
        <f t="shared" si="5"/>
        <v>0</v>
      </c>
    </row>
    <row r="115" spans="1:12" x14ac:dyDescent="0.4">
      <c r="A115" t="s">
        <v>159</v>
      </c>
      <c r="B115" t="s">
        <v>33</v>
      </c>
      <c r="C115">
        <v>31</v>
      </c>
      <c r="D115" t="s">
        <v>52</v>
      </c>
      <c r="E115">
        <v>8</v>
      </c>
      <c r="F115">
        <v>0.5</v>
      </c>
      <c r="G115">
        <v>20</v>
      </c>
      <c r="H115">
        <v>3</v>
      </c>
      <c r="I115" t="s">
        <v>41</v>
      </c>
      <c r="J115">
        <f t="shared" si="3"/>
        <v>0</v>
      </c>
      <c r="K115">
        <f t="shared" si="4"/>
        <v>0</v>
      </c>
      <c r="L115">
        <f t="shared" si="5"/>
        <v>1</v>
      </c>
    </row>
    <row r="116" spans="1:12" x14ac:dyDescent="0.4">
      <c r="A116" t="s">
        <v>160</v>
      </c>
      <c r="B116" t="s">
        <v>38</v>
      </c>
      <c r="C116">
        <v>54</v>
      </c>
      <c r="D116" t="s">
        <v>34</v>
      </c>
      <c r="E116">
        <v>6</v>
      </c>
      <c r="F116">
        <v>1</v>
      </c>
      <c r="G116">
        <v>100</v>
      </c>
      <c r="H116">
        <v>2</v>
      </c>
      <c r="I116" t="s">
        <v>98</v>
      </c>
      <c r="J116">
        <f t="shared" si="3"/>
        <v>0</v>
      </c>
      <c r="K116">
        <f t="shared" si="4"/>
        <v>0</v>
      </c>
      <c r="L116">
        <f t="shared" si="5"/>
        <v>0</v>
      </c>
    </row>
    <row r="117" spans="1:12" x14ac:dyDescent="0.4">
      <c r="A117" t="s">
        <v>161</v>
      </c>
      <c r="B117" t="s">
        <v>38</v>
      </c>
      <c r="C117">
        <v>47</v>
      </c>
      <c r="D117" t="s">
        <v>34</v>
      </c>
      <c r="E117">
        <v>2</v>
      </c>
      <c r="F117">
        <v>0.75</v>
      </c>
      <c r="G117">
        <v>25</v>
      </c>
      <c r="H117">
        <v>2</v>
      </c>
      <c r="I117" t="s">
        <v>39</v>
      </c>
      <c r="J117">
        <f t="shared" si="3"/>
        <v>0</v>
      </c>
      <c r="K117">
        <f t="shared" si="4"/>
        <v>1</v>
      </c>
      <c r="L117">
        <f t="shared" si="5"/>
        <v>0</v>
      </c>
    </row>
    <row r="118" spans="1:12" x14ac:dyDescent="0.4">
      <c r="A118" t="s">
        <v>162</v>
      </c>
      <c r="B118" t="s">
        <v>38</v>
      </c>
      <c r="C118">
        <v>37</v>
      </c>
      <c r="D118" t="s">
        <v>34</v>
      </c>
      <c r="E118">
        <v>6</v>
      </c>
      <c r="F118">
        <v>1</v>
      </c>
      <c r="G118">
        <v>40</v>
      </c>
      <c r="H118">
        <v>3</v>
      </c>
      <c r="I118" t="s">
        <v>39</v>
      </c>
      <c r="J118">
        <f t="shared" si="3"/>
        <v>0</v>
      </c>
      <c r="K118">
        <f t="shared" si="4"/>
        <v>1</v>
      </c>
      <c r="L118">
        <f t="shared" si="5"/>
        <v>0</v>
      </c>
    </row>
    <row r="119" spans="1:12" x14ac:dyDescent="0.4">
      <c r="A119" t="s">
        <v>163</v>
      </c>
      <c r="B119" t="s">
        <v>38</v>
      </c>
      <c r="C119">
        <v>45</v>
      </c>
      <c r="D119" t="s">
        <v>34</v>
      </c>
      <c r="E119">
        <v>7</v>
      </c>
      <c r="F119">
        <v>1</v>
      </c>
      <c r="G119">
        <v>100</v>
      </c>
      <c r="H119">
        <v>3</v>
      </c>
      <c r="I119" t="s">
        <v>41</v>
      </c>
      <c r="J119">
        <f t="shared" si="3"/>
        <v>0</v>
      </c>
      <c r="K119">
        <f t="shared" si="4"/>
        <v>0</v>
      </c>
      <c r="L119">
        <f t="shared" si="5"/>
        <v>1</v>
      </c>
    </row>
    <row r="120" spans="1:12" x14ac:dyDescent="0.4">
      <c r="A120" t="s">
        <v>164</v>
      </c>
      <c r="B120" t="s">
        <v>38</v>
      </c>
      <c r="C120">
        <v>40</v>
      </c>
      <c r="D120" t="s">
        <v>34</v>
      </c>
      <c r="E120">
        <v>2</v>
      </c>
      <c r="F120">
        <v>0.5</v>
      </c>
      <c r="G120">
        <v>25</v>
      </c>
      <c r="H120">
        <v>5</v>
      </c>
      <c r="I120" t="s">
        <v>35</v>
      </c>
      <c r="J120">
        <f t="shared" si="3"/>
        <v>1</v>
      </c>
      <c r="K120">
        <f t="shared" si="4"/>
        <v>0</v>
      </c>
      <c r="L120">
        <f t="shared" si="5"/>
        <v>0</v>
      </c>
    </row>
    <row r="121" spans="1:12" x14ac:dyDescent="0.4">
      <c r="A121" t="s">
        <v>165</v>
      </c>
      <c r="B121" t="s">
        <v>38</v>
      </c>
      <c r="C121">
        <v>43</v>
      </c>
      <c r="D121" t="s">
        <v>34</v>
      </c>
      <c r="E121">
        <v>7</v>
      </c>
      <c r="F121">
        <v>1</v>
      </c>
      <c r="G121">
        <v>50</v>
      </c>
      <c r="H121">
        <v>3</v>
      </c>
      <c r="I121" t="s">
        <v>35</v>
      </c>
      <c r="J121">
        <f t="shared" si="3"/>
        <v>1</v>
      </c>
      <c r="K121">
        <f t="shared" si="4"/>
        <v>0</v>
      </c>
      <c r="L121">
        <f t="shared" si="5"/>
        <v>0</v>
      </c>
    </row>
    <row r="122" spans="1:12" x14ac:dyDescent="0.4">
      <c r="A122" t="s">
        <v>166</v>
      </c>
      <c r="B122" t="s">
        <v>33</v>
      </c>
      <c r="C122">
        <v>56</v>
      </c>
      <c r="D122" t="s">
        <v>34</v>
      </c>
      <c r="E122">
        <v>6</v>
      </c>
      <c r="F122">
        <v>0.5</v>
      </c>
      <c r="G122">
        <v>40</v>
      </c>
      <c r="H122">
        <v>5</v>
      </c>
      <c r="I122" t="s">
        <v>35</v>
      </c>
      <c r="J122">
        <f t="shared" si="3"/>
        <v>1</v>
      </c>
      <c r="K122">
        <f t="shared" si="4"/>
        <v>0</v>
      </c>
      <c r="L122">
        <f t="shared" si="5"/>
        <v>0</v>
      </c>
    </row>
    <row r="123" spans="1:12" x14ac:dyDescent="0.4">
      <c r="A123" t="s">
        <v>167</v>
      </c>
      <c r="B123" t="s">
        <v>33</v>
      </c>
      <c r="C123">
        <v>57</v>
      </c>
      <c r="D123" t="s">
        <v>34</v>
      </c>
      <c r="E123">
        <v>2</v>
      </c>
      <c r="F123">
        <v>0.25</v>
      </c>
      <c r="G123">
        <v>20</v>
      </c>
      <c r="H123">
        <v>2</v>
      </c>
      <c r="I123" t="s">
        <v>41</v>
      </c>
      <c r="J123">
        <f t="shared" si="3"/>
        <v>0</v>
      </c>
      <c r="K123">
        <f t="shared" si="4"/>
        <v>0</v>
      </c>
      <c r="L123">
        <f t="shared" si="5"/>
        <v>1</v>
      </c>
    </row>
    <row r="124" spans="1:12" x14ac:dyDescent="0.4">
      <c r="A124" t="s">
        <v>168</v>
      </c>
      <c r="B124" t="s">
        <v>33</v>
      </c>
      <c r="C124">
        <v>42</v>
      </c>
      <c r="D124" t="s">
        <v>34</v>
      </c>
      <c r="E124">
        <v>3</v>
      </c>
      <c r="F124">
        <v>0.5</v>
      </c>
      <c r="G124">
        <v>30</v>
      </c>
      <c r="H124">
        <v>3</v>
      </c>
      <c r="I124" t="s">
        <v>35</v>
      </c>
      <c r="J124">
        <f t="shared" si="3"/>
        <v>1</v>
      </c>
      <c r="K124">
        <f t="shared" si="4"/>
        <v>0</v>
      </c>
      <c r="L124">
        <f t="shared" si="5"/>
        <v>0</v>
      </c>
    </row>
    <row r="125" spans="1:12" x14ac:dyDescent="0.4">
      <c r="A125" t="s">
        <v>169</v>
      </c>
      <c r="B125" t="s">
        <v>38</v>
      </c>
      <c r="C125">
        <v>63</v>
      </c>
      <c r="D125" t="s">
        <v>52</v>
      </c>
      <c r="E125">
        <v>3</v>
      </c>
      <c r="F125">
        <v>0.5</v>
      </c>
      <c r="G125">
        <v>40</v>
      </c>
      <c r="H125">
        <v>2</v>
      </c>
      <c r="I125" t="s">
        <v>35</v>
      </c>
      <c r="J125">
        <f t="shared" si="3"/>
        <v>1</v>
      </c>
      <c r="K125">
        <f t="shared" si="4"/>
        <v>0</v>
      </c>
      <c r="L125">
        <f t="shared" si="5"/>
        <v>0</v>
      </c>
    </row>
    <row r="126" spans="1:12" x14ac:dyDescent="0.4">
      <c r="A126" t="s">
        <v>170</v>
      </c>
      <c r="B126" t="s">
        <v>33</v>
      </c>
      <c r="C126">
        <v>62</v>
      </c>
      <c r="D126" t="s">
        <v>100</v>
      </c>
      <c r="E126">
        <v>1</v>
      </c>
      <c r="F126">
        <v>0.5</v>
      </c>
      <c r="G126">
        <v>30</v>
      </c>
      <c r="H126">
        <v>2</v>
      </c>
      <c r="I126" t="s">
        <v>35</v>
      </c>
      <c r="J126">
        <f t="shared" si="3"/>
        <v>1</v>
      </c>
      <c r="K126">
        <f t="shared" si="4"/>
        <v>0</v>
      </c>
      <c r="L126">
        <f t="shared" si="5"/>
        <v>0</v>
      </c>
    </row>
    <row r="127" spans="1:12" x14ac:dyDescent="0.4">
      <c r="A127" t="s">
        <v>171</v>
      </c>
      <c r="B127" t="s">
        <v>38</v>
      </c>
      <c r="C127">
        <v>37</v>
      </c>
      <c r="D127" t="s">
        <v>52</v>
      </c>
      <c r="E127">
        <v>5</v>
      </c>
      <c r="F127">
        <v>0.5</v>
      </c>
      <c r="G127">
        <v>350</v>
      </c>
      <c r="H127">
        <v>3</v>
      </c>
      <c r="I127" t="s">
        <v>41</v>
      </c>
      <c r="J127">
        <f t="shared" si="3"/>
        <v>0</v>
      </c>
      <c r="K127">
        <f t="shared" si="4"/>
        <v>0</v>
      </c>
      <c r="L127">
        <f t="shared" si="5"/>
        <v>1</v>
      </c>
    </row>
    <row r="128" spans="1:12" x14ac:dyDescent="0.4">
      <c r="A128" t="s">
        <v>172</v>
      </c>
      <c r="B128" t="s">
        <v>38</v>
      </c>
      <c r="C128">
        <v>42</v>
      </c>
      <c r="D128" t="s">
        <v>34</v>
      </c>
      <c r="E128">
        <v>6</v>
      </c>
      <c r="F128">
        <v>1</v>
      </c>
      <c r="G128">
        <v>25</v>
      </c>
      <c r="H128">
        <v>2</v>
      </c>
      <c r="I128" t="s">
        <v>41</v>
      </c>
      <c r="J128">
        <f t="shared" si="3"/>
        <v>0</v>
      </c>
      <c r="K128">
        <f t="shared" si="4"/>
        <v>0</v>
      </c>
      <c r="L128">
        <f t="shared" si="5"/>
        <v>1</v>
      </c>
    </row>
    <row r="129" spans="1:12" x14ac:dyDescent="0.4">
      <c r="A129" t="s">
        <v>173</v>
      </c>
      <c r="B129" t="s">
        <v>38</v>
      </c>
      <c r="C129">
        <v>41</v>
      </c>
      <c r="D129" t="s">
        <v>52</v>
      </c>
      <c r="E129">
        <v>5</v>
      </c>
      <c r="F129">
        <v>1</v>
      </c>
      <c r="G129">
        <v>50</v>
      </c>
      <c r="H129">
        <v>2</v>
      </c>
      <c r="I129" t="s">
        <v>41</v>
      </c>
      <c r="J129">
        <f t="shared" si="3"/>
        <v>0</v>
      </c>
      <c r="K129">
        <f t="shared" si="4"/>
        <v>0</v>
      </c>
      <c r="L129">
        <f t="shared" si="5"/>
        <v>1</v>
      </c>
    </row>
    <row r="130" spans="1:12" x14ac:dyDescent="0.4">
      <c r="A130" t="s">
        <v>174</v>
      </c>
      <c r="B130" t="s">
        <v>38</v>
      </c>
      <c r="C130">
        <v>19</v>
      </c>
      <c r="D130" t="s">
        <v>34</v>
      </c>
      <c r="E130">
        <v>5</v>
      </c>
      <c r="F130">
        <v>0.5</v>
      </c>
      <c r="G130">
        <v>40</v>
      </c>
      <c r="H130">
        <v>2</v>
      </c>
      <c r="I130" t="s">
        <v>41</v>
      </c>
      <c r="J130">
        <f t="shared" si="3"/>
        <v>0</v>
      </c>
      <c r="K130">
        <f t="shared" si="4"/>
        <v>0</v>
      </c>
      <c r="L130">
        <f t="shared" si="5"/>
        <v>1</v>
      </c>
    </row>
    <row r="131" spans="1:12" x14ac:dyDescent="0.4">
      <c r="A131" t="s">
        <v>175</v>
      </c>
      <c r="B131" t="s">
        <v>38</v>
      </c>
      <c r="C131">
        <v>62</v>
      </c>
      <c r="D131" t="s">
        <v>34</v>
      </c>
      <c r="E131">
        <v>5</v>
      </c>
      <c r="F131">
        <v>0.5</v>
      </c>
      <c r="G131">
        <v>250</v>
      </c>
      <c r="H131">
        <v>2</v>
      </c>
      <c r="I131" t="s">
        <v>98</v>
      </c>
      <c r="J131">
        <f t="shared" ref="J131:J194" si="6">IF(I131="Radio", 1, 0)</f>
        <v>0</v>
      </c>
      <c r="K131">
        <f t="shared" ref="K131:K194" si="7">IF(I131="Public gatherings", 1, 0)</f>
        <v>0</v>
      </c>
      <c r="L131">
        <f t="shared" ref="L131:L194" si="8">IF(I131="Extension Services", 1, 0)</f>
        <v>0</v>
      </c>
    </row>
    <row r="132" spans="1:12" x14ac:dyDescent="0.4">
      <c r="A132" t="s">
        <v>176</v>
      </c>
      <c r="B132" t="s">
        <v>38</v>
      </c>
      <c r="C132">
        <v>28</v>
      </c>
      <c r="D132" t="s">
        <v>34</v>
      </c>
      <c r="E132">
        <v>7</v>
      </c>
      <c r="F132">
        <v>1</v>
      </c>
      <c r="G132">
        <v>40</v>
      </c>
      <c r="H132">
        <v>2</v>
      </c>
      <c r="I132" t="s">
        <v>35</v>
      </c>
      <c r="J132">
        <f t="shared" si="6"/>
        <v>1</v>
      </c>
      <c r="K132">
        <f t="shared" si="7"/>
        <v>0</v>
      </c>
      <c r="L132">
        <f t="shared" si="8"/>
        <v>0</v>
      </c>
    </row>
    <row r="133" spans="1:12" x14ac:dyDescent="0.4">
      <c r="A133" t="s">
        <v>177</v>
      </c>
      <c r="B133" t="s">
        <v>33</v>
      </c>
      <c r="C133">
        <v>50</v>
      </c>
      <c r="D133" t="s">
        <v>45</v>
      </c>
      <c r="E133">
        <v>5</v>
      </c>
      <c r="F133">
        <v>0.5</v>
      </c>
      <c r="G133">
        <v>20</v>
      </c>
      <c r="H133">
        <v>3</v>
      </c>
      <c r="I133" t="s">
        <v>41</v>
      </c>
      <c r="J133">
        <f t="shared" si="6"/>
        <v>0</v>
      </c>
      <c r="K133">
        <f t="shared" si="7"/>
        <v>0</v>
      </c>
      <c r="L133">
        <f t="shared" si="8"/>
        <v>1</v>
      </c>
    </row>
    <row r="134" spans="1:12" x14ac:dyDescent="0.4">
      <c r="A134" t="s">
        <v>178</v>
      </c>
      <c r="B134" t="s">
        <v>38</v>
      </c>
      <c r="C134">
        <v>28</v>
      </c>
      <c r="D134" t="s">
        <v>34</v>
      </c>
      <c r="E134">
        <v>5</v>
      </c>
      <c r="F134">
        <v>1</v>
      </c>
      <c r="G134">
        <v>30</v>
      </c>
      <c r="H134">
        <v>4</v>
      </c>
      <c r="I134" t="s">
        <v>41</v>
      </c>
      <c r="J134">
        <f t="shared" si="6"/>
        <v>0</v>
      </c>
      <c r="K134">
        <f t="shared" si="7"/>
        <v>0</v>
      </c>
      <c r="L134">
        <f t="shared" si="8"/>
        <v>1</v>
      </c>
    </row>
    <row r="135" spans="1:12" x14ac:dyDescent="0.4">
      <c r="A135" t="s">
        <v>179</v>
      </c>
      <c r="B135" t="s">
        <v>38</v>
      </c>
      <c r="C135">
        <v>63</v>
      </c>
      <c r="D135" t="s">
        <v>34</v>
      </c>
      <c r="E135">
        <v>5</v>
      </c>
      <c r="F135">
        <v>1</v>
      </c>
      <c r="G135">
        <v>50</v>
      </c>
      <c r="H135">
        <v>3</v>
      </c>
      <c r="I135" t="s">
        <v>35</v>
      </c>
      <c r="J135">
        <f t="shared" si="6"/>
        <v>1</v>
      </c>
      <c r="K135">
        <f t="shared" si="7"/>
        <v>0</v>
      </c>
      <c r="L135">
        <f t="shared" si="8"/>
        <v>0</v>
      </c>
    </row>
    <row r="136" spans="1:12" x14ac:dyDescent="0.4">
      <c r="A136" t="s">
        <v>180</v>
      </c>
      <c r="B136" t="s">
        <v>33</v>
      </c>
      <c r="C136">
        <v>31</v>
      </c>
      <c r="D136" t="s">
        <v>34</v>
      </c>
      <c r="E136">
        <v>4</v>
      </c>
      <c r="F136">
        <v>0.5</v>
      </c>
      <c r="G136">
        <v>20</v>
      </c>
      <c r="H136">
        <v>3</v>
      </c>
      <c r="I136" t="s">
        <v>35</v>
      </c>
      <c r="J136">
        <f t="shared" si="6"/>
        <v>1</v>
      </c>
      <c r="K136">
        <f t="shared" si="7"/>
        <v>0</v>
      </c>
      <c r="L136">
        <f t="shared" si="8"/>
        <v>0</v>
      </c>
    </row>
    <row r="137" spans="1:12" x14ac:dyDescent="0.4">
      <c r="A137" t="s">
        <v>181</v>
      </c>
      <c r="B137" t="s">
        <v>38</v>
      </c>
      <c r="C137">
        <v>48</v>
      </c>
      <c r="D137" t="s">
        <v>34</v>
      </c>
      <c r="E137">
        <v>6</v>
      </c>
      <c r="F137">
        <v>0.5</v>
      </c>
      <c r="G137">
        <v>200</v>
      </c>
      <c r="H137">
        <v>3</v>
      </c>
      <c r="I137" t="s">
        <v>35</v>
      </c>
      <c r="J137">
        <f t="shared" si="6"/>
        <v>1</v>
      </c>
      <c r="K137">
        <f t="shared" si="7"/>
        <v>0</v>
      </c>
      <c r="L137">
        <f t="shared" si="8"/>
        <v>0</v>
      </c>
    </row>
    <row r="138" spans="1:12" x14ac:dyDescent="0.4">
      <c r="A138" t="s">
        <v>182</v>
      </c>
      <c r="B138" t="s">
        <v>38</v>
      </c>
      <c r="C138">
        <v>43</v>
      </c>
      <c r="D138" t="s">
        <v>34</v>
      </c>
      <c r="E138">
        <v>5</v>
      </c>
      <c r="F138">
        <v>2.5</v>
      </c>
      <c r="G138">
        <v>150</v>
      </c>
      <c r="H138">
        <v>2</v>
      </c>
      <c r="I138" t="s">
        <v>39</v>
      </c>
      <c r="J138">
        <f t="shared" si="6"/>
        <v>0</v>
      </c>
      <c r="K138">
        <f t="shared" si="7"/>
        <v>1</v>
      </c>
      <c r="L138">
        <f t="shared" si="8"/>
        <v>0</v>
      </c>
    </row>
    <row r="139" spans="1:12" x14ac:dyDescent="0.4">
      <c r="A139" t="s">
        <v>183</v>
      </c>
      <c r="B139" t="s">
        <v>33</v>
      </c>
      <c r="C139">
        <v>28</v>
      </c>
      <c r="D139" t="s">
        <v>52</v>
      </c>
      <c r="E139">
        <v>2</v>
      </c>
      <c r="F139">
        <v>1</v>
      </c>
      <c r="G139">
        <v>25</v>
      </c>
      <c r="H139">
        <v>4</v>
      </c>
      <c r="I139" t="s">
        <v>41</v>
      </c>
      <c r="J139">
        <f t="shared" si="6"/>
        <v>0</v>
      </c>
      <c r="K139">
        <f t="shared" si="7"/>
        <v>0</v>
      </c>
      <c r="L139">
        <f t="shared" si="8"/>
        <v>1</v>
      </c>
    </row>
    <row r="140" spans="1:12" x14ac:dyDescent="0.4">
      <c r="A140" t="s">
        <v>184</v>
      </c>
      <c r="B140" t="s">
        <v>38</v>
      </c>
      <c r="C140">
        <v>31</v>
      </c>
      <c r="D140" t="s">
        <v>34</v>
      </c>
      <c r="E140">
        <v>2</v>
      </c>
      <c r="F140">
        <v>1</v>
      </c>
      <c r="G140">
        <v>20</v>
      </c>
      <c r="H140">
        <v>2</v>
      </c>
      <c r="I140" t="s">
        <v>35</v>
      </c>
      <c r="J140">
        <f t="shared" si="6"/>
        <v>1</v>
      </c>
      <c r="K140">
        <f t="shared" si="7"/>
        <v>0</v>
      </c>
      <c r="L140">
        <f t="shared" si="8"/>
        <v>0</v>
      </c>
    </row>
    <row r="141" spans="1:12" x14ac:dyDescent="0.4">
      <c r="A141" t="s">
        <v>185</v>
      </c>
      <c r="B141" t="s">
        <v>33</v>
      </c>
      <c r="C141">
        <v>39</v>
      </c>
      <c r="D141" t="s">
        <v>52</v>
      </c>
      <c r="E141">
        <v>3</v>
      </c>
      <c r="F141">
        <v>2</v>
      </c>
      <c r="G141">
        <v>50</v>
      </c>
      <c r="H141">
        <v>3</v>
      </c>
      <c r="I141" t="s">
        <v>50</v>
      </c>
      <c r="J141">
        <f t="shared" si="6"/>
        <v>0</v>
      </c>
      <c r="K141">
        <f t="shared" si="7"/>
        <v>0</v>
      </c>
      <c r="L141">
        <f t="shared" si="8"/>
        <v>0</v>
      </c>
    </row>
    <row r="142" spans="1:12" x14ac:dyDescent="0.4">
      <c r="A142" t="s">
        <v>186</v>
      </c>
      <c r="B142" t="s">
        <v>33</v>
      </c>
      <c r="C142">
        <v>62</v>
      </c>
      <c r="D142" t="s">
        <v>34</v>
      </c>
      <c r="E142">
        <v>6</v>
      </c>
      <c r="F142">
        <v>0.5</v>
      </c>
      <c r="G142">
        <v>100</v>
      </c>
      <c r="H142">
        <v>2</v>
      </c>
      <c r="I142" t="s">
        <v>41</v>
      </c>
      <c r="J142">
        <f t="shared" si="6"/>
        <v>0</v>
      </c>
      <c r="K142">
        <f t="shared" si="7"/>
        <v>0</v>
      </c>
      <c r="L142">
        <f t="shared" si="8"/>
        <v>1</v>
      </c>
    </row>
    <row r="143" spans="1:12" x14ac:dyDescent="0.4">
      <c r="A143" t="s">
        <v>187</v>
      </c>
      <c r="B143" t="s">
        <v>38</v>
      </c>
      <c r="C143">
        <v>48</v>
      </c>
      <c r="D143" t="s">
        <v>52</v>
      </c>
      <c r="E143">
        <v>7</v>
      </c>
      <c r="F143">
        <v>1</v>
      </c>
      <c r="G143">
        <v>25</v>
      </c>
      <c r="H143">
        <v>3</v>
      </c>
      <c r="I143" t="s">
        <v>39</v>
      </c>
      <c r="J143">
        <f t="shared" si="6"/>
        <v>0</v>
      </c>
      <c r="K143">
        <f t="shared" si="7"/>
        <v>1</v>
      </c>
      <c r="L143">
        <f t="shared" si="8"/>
        <v>0</v>
      </c>
    </row>
    <row r="144" spans="1:12" x14ac:dyDescent="0.4">
      <c r="A144" t="s">
        <v>188</v>
      </c>
      <c r="B144" t="s">
        <v>38</v>
      </c>
      <c r="C144">
        <v>64</v>
      </c>
      <c r="D144" t="s">
        <v>34</v>
      </c>
      <c r="E144">
        <v>3</v>
      </c>
      <c r="F144">
        <v>0.25</v>
      </c>
      <c r="G144">
        <v>40</v>
      </c>
      <c r="H144">
        <v>3</v>
      </c>
      <c r="I144" t="s">
        <v>35</v>
      </c>
      <c r="J144">
        <f t="shared" si="6"/>
        <v>1</v>
      </c>
      <c r="K144">
        <f t="shared" si="7"/>
        <v>0</v>
      </c>
      <c r="L144">
        <f t="shared" si="8"/>
        <v>0</v>
      </c>
    </row>
    <row r="145" spans="1:12" x14ac:dyDescent="0.4">
      <c r="A145" t="s">
        <v>189</v>
      </c>
      <c r="B145" t="s">
        <v>38</v>
      </c>
      <c r="C145">
        <v>45</v>
      </c>
      <c r="D145" t="s">
        <v>34</v>
      </c>
      <c r="E145">
        <v>2</v>
      </c>
      <c r="F145">
        <v>0.25</v>
      </c>
      <c r="G145">
        <v>100</v>
      </c>
      <c r="H145">
        <v>3</v>
      </c>
      <c r="I145" t="s">
        <v>35</v>
      </c>
      <c r="J145">
        <f t="shared" si="6"/>
        <v>1</v>
      </c>
      <c r="K145">
        <f t="shared" si="7"/>
        <v>0</v>
      </c>
      <c r="L145">
        <f t="shared" si="8"/>
        <v>0</v>
      </c>
    </row>
    <row r="146" spans="1:12" x14ac:dyDescent="0.4">
      <c r="A146" t="s">
        <v>190</v>
      </c>
      <c r="B146" t="s">
        <v>33</v>
      </c>
      <c r="C146">
        <v>29</v>
      </c>
      <c r="D146" t="s">
        <v>34</v>
      </c>
      <c r="E146">
        <v>6</v>
      </c>
      <c r="F146">
        <v>0.5</v>
      </c>
      <c r="G146">
        <v>200</v>
      </c>
      <c r="H146">
        <v>5</v>
      </c>
      <c r="I146" t="s">
        <v>41</v>
      </c>
      <c r="J146">
        <f t="shared" si="6"/>
        <v>0</v>
      </c>
      <c r="K146">
        <f t="shared" si="7"/>
        <v>0</v>
      </c>
      <c r="L146">
        <f t="shared" si="8"/>
        <v>1</v>
      </c>
    </row>
    <row r="147" spans="1:12" x14ac:dyDescent="0.4">
      <c r="A147" t="s">
        <v>191</v>
      </c>
      <c r="B147" t="s">
        <v>38</v>
      </c>
      <c r="C147">
        <v>53</v>
      </c>
      <c r="D147" t="s">
        <v>52</v>
      </c>
      <c r="E147">
        <v>5</v>
      </c>
      <c r="F147">
        <v>1</v>
      </c>
      <c r="G147">
        <v>50</v>
      </c>
      <c r="H147">
        <v>2</v>
      </c>
      <c r="I147" t="s">
        <v>39</v>
      </c>
      <c r="J147">
        <f t="shared" si="6"/>
        <v>0</v>
      </c>
      <c r="K147">
        <f t="shared" si="7"/>
        <v>1</v>
      </c>
      <c r="L147">
        <f t="shared" si="8"/>
        <v>0</v>
      </c>
    </row>
    <row r="148" spans="1:12" x14ac:dyDescent="0.4">
      <c r="A148" t="s">
        <v>192</v>
      </c>
      <c r="B148" t="s">
        <v>38</v>
      </c>
      <c r="C148">
        <v>32</v>
      </c>
      <c r="D148" t="s">
        <v>34</v>
      </c>
      <c r="E148">
        <v>4</v>
      </c>
      <c r="F148">
        <v>0.5</v>
      </c>
      <c r="G148">
        <v>25</v>
      </c>
      <c r="H148">
        <v>3</v>
      </c>
      <c r="I148" t="s">
        <v>41</v>
      </c>
      <c r="J148">
        <f t="shared" si="6"/>
        <v>0</v>
      </c>
      <c r="K148">
        <f t="shared" si="7"/>
        <v>0</v>
      </c>
      <c r="L148">
        <f t="shared" si="8"/>
        <v>1</v>
      </c>
    </row>
    <row r="149" spans="1:12" x14ac:dyDescent="0.4">
      <c r="A149" t="s">
        <v>193</v>
      </c>
      <c r="B149" t="s">
        <v>38</v>
      </c>
      <c r="C149">
        <v>46</v>
      </c>
      <c r="D149" t="s">
        <v>34</v>
      </c>
      <c r="E149">
        <v>4</v>
      </c>
      <c r="F149">
        <v>0.5</v>
      </c>
      <c r="G149">
        <v>40</v>
      </c>
      <c r="H149">
        <v>2</v>
      </c>
      <c r="I149" t="s">
        <v>35</v>
      </c>
      <c r="J149">
        <f t="shared" si="6"/>
        <v>1</v>
      </c>
      <c r="K149">
        <f t="shared" si="7"/>
        <v>0</v>
      </c>
      <c r="L149">
        <f t="shared" si="8"/>
        <v>0</v>
      </c>
    </row>
    <row r="150" spans="1:12" x14ac:dyDescent="0.4">
      <c r="A150" t="s">
        <v>194</v>
      </c>
      <c r="B150" t="s">
        <v>38</v>
      </c>
      <c r="C150">
        <v>32</v>
      </c>
      <c r="D150" t="s">
        <v>34</v>
      </c>
      <c r="E150">
        <v>4</v>
      </c>
      <c r="F150">
        <v>0.5</v>
      </c>
      <c r="G150">
        <v>20</v>
      </c>
      <c r="H150">
        <v>4</v>
      </c>
      <c r="I150" t="s">
        <v>39</v>
      </c>
      <c r="J150">
        <f t="shared" si="6"/>
        <v>0</v>
      </c>
      <c r="K150">
        <f t="shared" si="7"/>
        <v>1</v>
      </c>
      <c r="L150">
        <f t="shared" si="8"/>
        <v>0</v>
      </c>
    </row>
    <row r="151" spans="1:12" x14ac:dyDescent="0.4">
      <c r="A151" t="s">
        <v>195</v>
      </c>
      <c r="B151" t="s">
        <v>38</v>
      </c>
      <c r="C151">
        <v>52</v>
      </c>
      <c r="D151" t="s">
        <v>34</v>
      </c>
      <c r="E151">
        <v>2</v>
      </c>
      <c r="F151">
        <v>1</v>
      </c>
      <c r="G151">
        <v>50</v>
      </c>
      <c r="H151">
        <v>3</v>
      </c>
      <c r="I151" t="s">
        <v>35</v>
      </c>
      <c r="J151">
        <f t="shared" si="6"/>
        <v>1</v>
      </c>
      <c r="K151">
        <f t="shared" si="7"/>
        <v>0</v>
      </c>
      <c r="L151">
        <f t="shared" si="8"/>
        <v>0</v>
      </c>
    </row>
    <row r="152" spans="1:12" x14ac:dyDescent="0.4">
      <c r="A152" t="s">
        <v>196</v>
      </c>
      <c r="B152" t="s">
        <v>38</v>
      </c>
      <c r="C152">
        <v>39</v>
      </c>
      <c r="D152" t="s">
        <v>52</v>
      </c>
      <c r="E152">
        <v>3</v>
      </c>
      <c r="F152">
        <v>0.5</v>
      </c>
      <c r="G152">
        <v>100</v>
      </c>
      <c r="H152">
        <v>3</v>
      </c>
      <c r="I152" t="s">
        <v>35</v>
      </c>
      <c r="J152">
        <f t="shared" si="6"/>
        <v>1</v>
      </c>
      <c r="K152">
        <f t="shared" si="7"/>
        <v>0</v>
      </c>
      <c r="L152">
        <f t="shared" si="8"/>
        <v>0</v>
      </c>
    </row>
    <row r="153" spans="1:12" x14ac:dyDescent="0.4">
      <c r="A153" t="s">
        <v>197</v>
      </c>
      <c r="B153" t="s">
        <v>38</v>
      </c>
      <c r="C153">
        <v>18</v>
      </c>
      <c r="D153" t="s">
        <v>52</v>
      </c>
      <c r="E153">
        <v>6</v>
      </c>
      <c r="F153">
        <v>0.25</v>
      </c>
      <c r="G153">
        <v>50</v>
      </c>
      <c r="H153">
        <v>3</v>
      </c>
      <c r="I153" t="s">
        <v>39</v>
      </c>
      <c r="J153">
        <f t="shared" si="6"/>
        <v>0</v>
      </c>
      <c r="K153">
        <f t="shared" si="7"/>
        <v>1</v>
      </c>
      <c r="L153">
        <f t="shared" si="8"/>
        <v>0</v>
      </c>
    </row>
    <row r="154" spans="1:12" x14ac:dyDescent="0.4">
      <c r="A154" t="s">
        <v>198</v>
      </c>
      <c r="B154" t="s">
        <v>38</v>
      </c>
      <c r="C154">
        <v>33</v>
      </c>
      <c r="D154" t="s">
        <v>34</v>
      </c>
      <c r="E154">
        <v>5</v>
      </c>
      <c r="F154">
        <v>0.75</v>
      </c>
      <c r="G154">
        <v>25</v>
      </c>
      <c r="H154">
        <v>3</v>
      </c>
      <c r="I154" t="s">
        <v>41</v>
      </c>
      <c r="J154">
        <f t="shared" si="6"/>
        <v>0</v>
      </c>
      <c r="K154">
        <f t="shared" si="7"/>
        <v>0</v>
      </c>
      <c r="L154">
        <f t="shared" si="8"/>
        <v>1</v>
      </c>
    </row>
    <row r="155" spans="1:12" x14ac:dyDescent="0.4">
      <c r="A155" t="s">
        <v>199</v>
      </c>
      <c r="B155" t="s">
        <v>33</v>
      </c>
      <c r="C155">
        <v>47</v>
      </c>
      <c r="D155" t="s">
        <v>45</v>
      </c>
      <c r="E155">
        <v>5</v>
      </c>
      <c r="F155">
        <v>1</v>
      </c>
      <c r="G155">
        <v>40</v>
      </c>
      <c r="H155">
        <v>3</v>
      </c>
      <c r="I155" t="s">
        <v>41</v>
      </c>
      <c r="J155">
        <f t="shared" si="6"/>
        <v>0</v>
      </c>
      <c r="K155">
        <f t="shared" si="7"/>
        <v>0</v>
      </c>
      <c r="L155">
        <f t="shared" si="8"/>
        <v>1</v>
      </c>
    </row>
    <row r="156" spans="1:12" x14ac:dyDescent="0.4">
      <c r="A156" t="s">
        <v>200</v>
      </c>
      <c r="B156" t="s">
        <v>38</v>
      </c>
      <c r="C156">
        <v>44</v>
      </c>
      <c r="D156" t="s">
        <v>52</v>
      </c>
      <c r="E156">
        <v>4</v>
      </c>
      <c r="F156">
        <v>1.5</v>
      </c>
      <c r="G156">
        <v>100</v>
      </c>
      <c r="H156">
        <v>2</v>
      </c>
      <c r="I156" t="s">
        <v>41</v>
      </c>
      <c r="J156">
        <f t="shared" si="6"/>
        <v>0</v>
      </c>
      <c r="K156">
        <f t="shared" si="7"/>
        <v>0</v>
      </c>
      <c r="L156">
        <f t="shared" si="8"/>
        <v>1</v>
      </c>
    </row>
    <row r="157" spans="1:12" x14ac:dyDescent="0.4">
      <c r="A157" t="s">
        <v>201</v>
      </c>
      <c r="B157" t="s">
        <v>33</v>
      </c>
      <c r="C157">
        <v>33</v>
      </c>
      <c r="D157" t="s">
        <v>34</v>
      </c>
      <c r="E157">
        <v>6</v>
      </c>
      <c r="F157">
        <v>0.5</v>
      </c>
      <c r="G157">
        <v>100</v>
      </c>
      <c r="H157">
        <v>3</v>
      </c>
      <c r="I157" t="s">
        <v>39</v>
      </c>
      <c r="J157">
        <f t="shared" si="6"/>
        <v>0</v>
      </c>
      <c r="K157">
        <f t="shared" si="7"/>
        <v>1</v>
      </c>
      <c r="L157">
        <f t="shared" si="8"/>
        <v>0</v>
      </c>
    </row>
    <row r="158" spans="1:12" x14ac:dyDescent="0.4">
      <c r="A158" t="s">
        <v>202</v>
      </c>
      <c r="B158" t="s">
        <v>33</v>
      </c>
      <c r="C158">
        <v>35</v>
      </c>
      <c r="D158" t="s">
        <v>52</v>
      </c>
      <c r="E158">
        <v>4</v>
      </c>
      <c r="F158">
        <v>0.25</v>
      </c>
      <c r="G158">
        <v>20</v>
      </c>
      <c r="H158">
        <v>2</v>
      </c>
      <c r="I158" t="s">
        <v>35</v>
      </c>
      <c r="J158">
        <f t="shared" si="6"/>
        <v>1</v>
      </c>
      <c r="K158">
        <f t="shared" si="7"/>
        <v>0</v>
      </c>
      <c r="L158">
        <f t="shared" si="8"/>
        <v>0</v>
      </c>
    </row>
    <row r="159" spans="1:12" x14ac:dyDescent="0.4">
      <c r="A159" t="s">
        <v>203</v>
      </c>
      <c r="B159" t="s">
        <v>38</v>
      </c>
      <c r="C159">
        <v>43</v>
      </c>
      <c r="D159" t="s">
        <v>34</v>
      </c>
      <c r="E159">
        <v>5</v>
      </c>
      <c r="F159">
        <v>1.5</v>
      </c>
      <c r="G159">
        <v>50</v>
      </c>
      <c r="H159">
        <v>2</v>
      </c>
      <c r="I159" t="s">
        <v>35</v>
      </c>
      <c r="J159">
        <f t="shared" si="6"/>
        <v>1</v>
      </c>
      <c r="K159">
        <f t="shared" si="7"/>
        <v>0</v>
      </c>
      <c r="L159">
        <f t="shared" si="8"/>
        <v>0</v>
      </c>
    </row>
    <row r="160" spans="1:12" x14ac:dyDescent="0.4">
      <c r="A160" t="s">
        <v>204</v>
      </c>
      <c r="B160" t="s">
        <v>38</v>
      </c>
      <c r="C160">
        <v>34</v>
      </c>
      <c r="D160" t="s">
        <v>34</v>
      </c>
      <c r="E160">
        <v>6</v>
      </c>
      <c r="F160">
        <v>1</v>
      </c>
      <c r="G160">
        <v>50</v>
      </c>
      <c r="H160">
        <v>2</v>
      </c>
      <c r="I160" t="s">
        <v>35</v>
      </c>
      <c r="J160">
        <f t="shared" si="6"/>
        <v>1</v>
      </c>
      <c r="K160">
        <f t="shared" si="7"/>
        <v>0</v>
      </c>
      <c r="L160">
        <f t="shared" si="8"/>
        <v>0</v>
      </c>
    </row>
    <row r="161" spans="1:12" x14ac:dyDescent="0.4">
      <c r="A161" t="s">
        <v>205</v>
      </c>
      <c r="B161" t="s">
        <v>38</v>
      </c>
      <c r="C161">
        <v>49</v>
      </c>
      <c r="D161" t="s">
        <v>34</v>
      </c>
      <c r="E161">
        <v>6</v>
      </c>
      <c r="F161">
        <v>0.5</v>
      </c>
      <c r="G161">
        <v>75</v>
      </c>
      <c r="H161">
        <v>2</v>
      </c>
      <c r="I161" t="s">
        <v>41</v>
      </c>
      <c r="J161">
        <f t="shared" si="6"/>
        <v>0</v>
      </c>
      <c r="K161">
        <f t="shared" si="7"/>
        <v>0</v>
      </c>
      <c r="L161">
        <f t="shared" si="8"/>
        <v>1</v>
      </c>
    </row>
    <row r="162" spans="1:12" x14ac:dyDescent="0.4">
      <c r="A162" t="s">
        <v>206</v>
      </c>
      <c r="B162" t="s">
        <v>38</v>
      </c>
      <c r="C162">
        <v>44</v>
      </c>
      <c r="D162" t="s">
        <v>52</v>
      </c>
      <c r="E162">
        <v>6</v>
      </c>
      <c r="F162">
        <v>0.5</v>
      </c>
      <c r="G162">
        <v>20</v>
      </c>
      <c r="H162">
        <v>2</v>
      </c>
      <c r="I162" t="s">
        <v>35</v>
      </c>
      <c r="J162">
        <f t="shared" si="6"/>
        <v>1</v>
      </c>
      <c r="K162">
        <f t="shared" si="7"/>
        <v>0</v>
      </c>
      <c r="L162">
        <f t="shared" si="8"/>
        <v>0</v>
      </c>
    </row>
    <row r="163" spans="1:12" x14ac:dyDescent="0.4">
      <c r="A163" t="s">
        <v>207</v>
      </c>
      <c r="B163" t="s">
        <v>38</v>
      </c>
      <c r="C163">
        <v>35</v>
      </c>
      <c r="D163" t="s">
        <v>34</v>
      </c>
      <c r="E163">
        <v>5</v>
      </c>
      <c r="F163">
        <v>1</v>
      </c>
      <c r="G163">
        <v>50</v>
      </c>
      <c r="H163">
        <v>3</v>
      </c>
      <c r="I163" t="s">
        <v>35</v>
      </c>
      <c r="J163">
        <f t="shared" si="6"/>
        <v>1</v>
      </c>
      <c r="K163">
        <f t="shared" si="7"/>
        <v>0</v>
      </c>
      <c r="L163">
        <f t="shared" si="8"/>
        <v>0</v>
      </c>
    </row>
    <row r="164" spans="1:12" x14ac:dyDescent="0.4">
      <c r="A164" t="s">
        <v>208</v>
      </c>
      <c r="B164" t="s">
        <v>38</v>
      </c>
      <c r="C164">
        <v>50</v>
      </c>
      <c r="D164" t="s">
        <v>52</v>
      </c>
      <c r="E164">
        <v>5</v>
      </c>
      <c r="F164">
        <v>1</v>
      </c>
      <c r="G164">
        <v>50</v>
      </c>
      <c r="H164">
        <v>3</v>
      </c>
      <c r="I164" t="s">
        <v>39</v>
      </c>
      <c r="J164">
        <f t="shared" si="6"/>
        <v>0</v>
      </c>
      <c r="K164">
        <f t="shared" si="7"/>
        <v>1</v>
      </c>
      <c r="L164">
        <f t="shared" si="8"/>
        <v>0</v>
      </c>
    </row>
    <row r="165" spans="1:12" x14ac:dyDescent="0.4">
      <c r="A165" t="s">
        <v>209</v>
      </c>
      <c r="B165" t="s">
        <v>38</v>
      </c>
      <c r="C165">
        <v>19</v>
      </c>
      <c r="D165" t="s">
        <v>34</v>
      </c>
      <c r="E165">
        <v>6</v>
      </c>
      <c r="F165">
        <v>1</v>
      </c>
      <c r="G165">
        <v>50</v>
      </c>
      <c r="H165">
        <v>3</v>
      </c>
      <c r="I165" t="s">
        <v>35</v>
      </c>
      <c r="J165">
        <f t="shared" si="6"/>
        <v>1</v>
      </c>
      <c r="K165">
        <f t="shared" si="7"/>
        <v>0</v>
      </c>
      <c r="L165">
        <f t="shared" si="8"/>
        <v>0</v>
      </c>
    </row>
    <row r="166" spans="1:12" x14ac:dyDescent="0.4">
      <c r="A166" t="s">
        <v>210</v>
      </c>
      <c r="B166" t="s">
        <v>33</v>
      </c>
      <c r="C166">
        <v>55</v>
      </c>
      <c r="D166" t="s">
        <v>34</v>
      </c>
      <c r="E166">
        <v>1</v>
      </c>
      <c r="F166">
        <v>0.5</v>
      </c>
      <c r="G166">
        <v>200</v>
      </c>
      <c r="H166">
        <v>2</v>
      </c>
      <c r="I166" t="s">
        <v>39</v>
      </c>
      <c r="J166">
        <f t="shared" si="6"/>
        <v>0</v>
      </c>
      <c r="K166">
        <f t="shared" si="7"/>
        <v>1</v>
      </c>
      <c r="L166">
        <f t="shared" si="8"/>
        <v>0</v>
      </c>
    </row>
    <row r="167" spans="1:12" x14ac:dyDescent="0.4">
      <c r="A167" t="s">
        <v>211</v>
      </c>
      <c r="B167" t="s">
        <v>33</v>
      </c>
      <c r="C167">
        <v>29</v>
      </c>
      <c r="D167" t="s">
        <v>34</v>
      </c>
      <c r="E167">
        <v>4</v>
      </c>
      <c r="F167">
        <v>2</v>
      </c>
      <c r="G167">
        <v>60</v>
      </c>
      <c r="H167">
        <v>2</v>
      </c>
      <c r="I167" t="s">
        <v>39</v>
      </c>
      <c r="J167">
        <f t="shared" si="6"/>
        <v>0</v>
      </c>
      <c r="K167">
        <f t="shared" si="7"/>
        <v>1</v>
      </c>
      <c r="L167">
        <f t="shared" si="8"/>
        <v>0</v>
      </c>
    </row>
    <row r="168" spans="1:12" x14ac:dyDescent="0.4">
      <c r="A168" t="s">
        <v>212</v>
      </c>
      <c r="B168" t="s">
        <v>33</v>
      </c>
      <c r="C168">
        <v>34</v>
      </c>
      <c r="D168" t="s">
        <v>52</v>
      </c>
      <c r="E168">
        <v>4</v>
      </c>
      <c r="F168">
        <v>2</v>
      </c>
      <c r="G168">
        <v>100</v>
      </c>
      <c r="H168">
        <v>5</v>
      </c>
      <c r="I168" t="s">
        <v>35</v>
      </c>
      <c r="J168">
        <f t="shared" si="6"/>
        <v>1</v>
      </c>
      <c r="K168">
        <f t="shared" si="7"/>
        <v>0</v>
      </c>
      <c r="L168">
        <f t="shared" si="8"/>
        <v>0</v>
      </c>
    </row>
    <row r="169" spans="1:12" x14ac:dyDescent="0.4">
      <c r="A169" t="s">
        <v>213</v>
      </c>
      <c r="B169" t="s">
        <v>38</v>
      </c>
      <c r="C169">
        <v>45</v>
      </c>
      <c r="D169" t="s">
        <v>34</v>
      </c>
      <c r="E169">
        <v>7</v>
      </c>
      <c r="F169">
        <v>0.25</v>
      </c>
      <c r="G169">
        <v>45</v>
      </c>
      <c r="H169">
        <v>4</v>
      </c>
      <c r="I169" t="s">
        <v>35</v>
      </c>
      <c r="J169">
        <f t="shared" si="6"/>
        <v>1</v>
      </c>
      <c r="K169">
        <f t="shared" si="7"/>
        <v>0</v>
      </c>
      <c r="L169">
        <f t="shared" si="8"/>
        <v>0</v>
      </c>
    </row>
    <row r="170" spans="1:12" x14ac:dyDescent="0.4">
      <c r="A170" t="s">
        <v>214</v>
      </c>
      <c r="B170" t="s">
        <v>33</v>
      </c>
      <c r="C170">
        <v>62</v>
      </c>
      <c r="D170" t="s">
        <v>34</v>
      </c>
      <c r="E170">
        <v>2</v>
      </c>
      <c r="F170">
        <v>0.5</v>
      </c>
      <c r="G170">
        <v>20</v>
      </c>
      <c r="H170">
        <v>2</v>
      </c>
      <c r="I170" t="s">
        <v>39</v>
      </c>
      <c r="J170">
        <f t="shared" si="6"/>
        <v>0</v>
      </c>
      <c r="K170">
        <f t="shared" si="7"/>
        <v>1</v>
      </c>
      <c r="L170">
        <f t="shared" si="8"/>
        <v>0</v>
      </c>
    </row>
    <row r="171" spans="1:12" x14ac:dyDescent="0.4">
      <c r="A171" t="s">
        <v>215</v>
      </c>
      <c r="B171" t="s">
        <v>33</v>
      </c>
      <c r="C171">
        <v>59</v>
      </c>
      <c r="D171" t="s">
        <v>34</v>
      </c>
      <c r="E171">
        <v>3</v>
      </c>
      <c r="F171">
        <v>0.3</v>
      </c>
      <c r="G171">
        <v>50</v>
      </c>
      <c r="H171">
        <v>3</v>
      </c>
      <c r="I171" t="s">
        <v>39</v>
      </c>
      <c r="J171">
        <f t="shared" si="6"/>
        <v>0</v>
      </c>
      <c r="K171">
        <f t="shared" si="7"/>
        <v>1</v>
      </c>
      <c r="L171">
        <f t="shared" si="8"/>
        <v>0</v>
      </c>
    </row>
    <row r="172" spans="1:12" x14ac:dyDescent="0.4">
      <c r="A172" t="s">
        <v>216</v>
      </c>
      <c r="B172" t="s">
        <v>38</v>
      </c>
      <c r="C172">
        <v>48</v>
      </c>
      <c r="D172" t="s">
        <v>34</v>
      </c>
      <c r="E172">
        <v>4</v>
      </c>
      <c r="F172">
        <v>1.5</v>
      </c>
      <c r="G172">
        <v>150</v>
      </c>
      <c r="H172">
        <v>2</v>
      </c>
      <c r="I172" t="s">
        <v>41</v>
      </c>
      <c r="J172">
        <f t="shared" si="6"/>
        <v>0</v>
      </c>
      <c r="K172">
        <f t="shared" si="7"/>
        <v>0</v>
      </c>
      <c r="L172">
        <f t="shared" si="8"/>
        <v>1</v>
      </c>
    </row>
    <row r="173" spans="1:12" x14ac:dyDescent="0.4">
      <c r="A173" t="s">
        <v>217</v>
      </c>
      <c r="B173" t="s">
        <v>33</v>
      </c>
      <c r="C173">
        <v>57</v>
      </c>
      <c r="D173" t="s">
        <v>100</v>
      </c>
      <c r="E173">
        <v>1</v>
      </c>
      <c r="F173">
        <v>0.5</v>
      </c>
      <c r="G173">
        <v>20</v>
      </c>
      <c r="H173">
        <v>4</v>
      </c>
      <c r="I173" t="s">
        <v>35</v>
      </c>
      <c r="J173">
        <f t="shared" si="6"/>
        <v>1</v>
      </c>
      <c r="K173">
        <f t="shared" si="7"/>
        <v>0</v>
      </c>
      <c r="L173">
        <f t="shared" si="8"/>
        <v>0</v>
      </c>
    </row>
    <row r="174" spans="1:12" x14ac:dyDescent="0.4">
      <c r="A174" t="s">
        <v>218</v>
      </c>
      <c r="B174" t="s">
        <v>33</v>
      </c>
      <c r="C174">
        <v>57</v>
      </c>
      <c r="D174" t="s">
        <v>100</v>
      </c>
      <c r="E174">
        <v>1</v>
      </c>
      <c r="F174">
        <v>0.5</v>
      </c>
      <c r="G174">
        <v>90</v>
      </c>
      <c r="H174">
        <v>2</v>
      </c>
      <c r="I174" t="s">
        <v>35</v>
      </c>
      <c r="J174">
        <f t="shared" si="6"/>
        <v>1</v>
      </c>
      <c r="K174">
        <f t="shared" si="7"/>
        <v>0</v>
      </c>
      <c r="L174">
        <f t="shared" si="8"/>
        <v>0</v>
      </c>
    </row>
    <row r="175" spans="1:12" x14ac:dyDescent="0.4">
      <c r="A175" t="s">
        <v>219</v>
      </c>
      <c r="B175" t="s">
        <v>38</v>
      </c>
      <c r="C175">
        <v>21</v>
      </c>
      <c r="D175" t="s">
        <v>52</v>
      </c>
      <c r="E175">
        <v>4</v>
      </c>
      <c r="F175">
        <v>1.5</v>
      </c>
      <c r="G175">
        <v>50</v>
      </c>
      <c r="H175">
        <v>3</v>
      </c>
      <c r="I175" t="s">
        <v>39</v>
      </c>
      <c r="J175">
        <f t="shared" si="6"/>
        <v>0</v>
      </c>
      <c r="K175">
        <f t="shared" si="7"/>
        <v>1</v>
      </c>
      <c r="L175">
        <f t="shared" si="8"/>
        <v>0</v>
      </c>
    </row>
    <row r="176" spans="1:12" x14ac:dyDescent="0.4">
      <c r="A176" t="s">
        <v>220</v>
      </c>
      <c r="B176" t="s">
        <v>38</v>
      </c>
      <c r="C176">
        <v>25</v>
      </c>
      <c r="D176" t="s">
        <v>34</v>
      </c>
      <c r="E176">
        <v>6</v>
      </c>
      <c r="F176">
        <v>0.5</v>
      </c>
      <c r="G176">
        <v>20</v>
      </c>
      <c r="H176">
        <v>2</v>
      </c>
      <c r="I176" t="s">
        <v>39</v>
      </c>
      <c r="J176">
        <f t="shared" si="6"/>
        <v>0</v>
      </c>
      <c r="K176">
        <f t="shared" si="7"/>
        <v>1</v>
      </c>
      <c r="L176">
        <f t="shared" si="8"/>
        <v>0</v>
      </c>
    </row>
    <row r="177" spans="1:12" x14ac:dyDescent="0.4">
      <c r="A177" t="s">
        <v>221</v>
      </c>
      <c r="B177" t="s">
        <v>38</v>
      </c>
      <c r="C177">
        <v>54</v>
      </c>
      <c r="D177" t="s">
        <v>34</v>
      </c>
      <c r="E177">
        <v>2</v>
      </c>
      <c r="F177">
        <v>0.5</v>
      </c>
      <c r="G177">
        <v>20</v>
      </c>
      <c r="H177">
        <v>3</v>
      </c>
      <c r="I177" t="s">
        <v>39</v>
      </c>
      <c r="J177">
        <f t="shared" si="6"/>
        <v>0</v>
      </c>
      <c r="K177">
        <f t="shared" si="7"/>
        <v>1</v>
      </c>
      <c r="L177">
        <f t="shared" si="8"/>
        <v>0</v>
      </c>
    </row>
    <row r="178" spans="1:12" x14ac:dyDescent="0.4">
      <c r="A178" t="s">
        <v>222</v>
      </c>
      <c r="B178" t="s">
        <v>38</v>
      </c>
      <c r="C178">
        <v>51</v>
      </c>
      <c r="D178" t="s">
        <v>34</v>
      </c>
      <c r="E178">
        <v>4</v>
      </c>
      <c r="F178">
        <v>0.5</v>
      </c>
      <c r="G178">
        <v>50</v>
      </c>
      <c r="H178">
        <v>3</v>
      </c>
      <c r="I178" t="s">
        <v>41</v>
      </c>
      <c r="J178">
        <f t="shared" si="6"/>
        <v>0</v>
      </c>
      <c r="K178">
        <f t="shared" si="7"/>
        <v>0</v>
      </c>
      <c r="L178">
        <f t="shared" si="8"/>
        <v>1</v>
      </c>
    </row>
    <row r="179" spans="1:12" x14ac:dyDescent="0.4">
      <c r="A179" t="s">
        <v>223</v>
      </c>
      <c r="B179" t="s">
        <v>33</v>
      </c>
      <c r="C179">
        <v>40</v>
      </c>
      <c r="D179" t="s">
        <v>45</v>
      </c>
      <c r="E179">
        <v>7</v>
      </c>
      <c r="F179">
        <v>1.5</v>
      </c>
      <c r="G179">
        <v>300</v>
      </c>
      <c r="H179">
        <v>3</v>
      </c>
      <c r="I179" t="s">
        <v>35</v>
      </c>
      <c r="J179">
        <f t="shared" si="6"/>
        <v>1</v>
      </c>
      <c r="K179">
        <f t="shared" si="7"/>
        <v>0</v>
      </c>
      <c r="L179">
        <f t="shared" si="8"/>
        <v>0</v>
      </c>
    </row>
    <row r="180" spans="1:12" x14ac:dyDescent="0.4">
      <c r="A180" t="s">
        <v>224</v>
      </c>
      <c r="B180" t="s">
        <v>38</v>
      </c>
      <c r="C180">
        <v>36</v>
      </c>
      <c r="D180" t="s">
        <v>34</v>
      </c>
      <c r="E180">
        <v>5</v>
      </c>
      <c r="F180">
        <v>1</v>
      </c>
      <c r="G180">
        <v>20</v>
      </c>
      <c r="H180">
        <v>2</v>
      </c>
      <c r="I180" t="s">
        <v>35</v>
      </c>
      <c r="J180">
        <f t="shared" si="6"/>
        <v>1</v>
      </c>
      <c r="K180">
        <f t="shared" si="7"/>
        <v>0</v>
      </c>
      <c r="L180">
        <f t="shared" si="8"/>
        <v>0</v>
      </c>
    </row>
    <row r="181" spans="1:12" x14ac:dyDescent="0.4">
      <c r="A181" t="s">
        <v>225</v>
      </c>
      <c r="B181" t="s">
        <v>38</v>
      </c>
      <c r="C181">
        <v>54</v>
      </c>
      <c r="D181" t="s">
        <v>52</v>
      </c>
      <c r="E181">
        <v>6</v>
      </c>
      <c r="F181">
        <v>1</v>
      </c>
      <c r="G181">
        <v>50</v>
      </c>
      <c r="H181">
        <v>2</v>
      </c>
      <c r="I181" t="s">
        <v>35</v>
      </c>
      <c r="J181">
        <f t="shared" si="6"/>
        <v>1</v>
      </c>
      <c r="K181">
        <f t="shared" si="7"/>
        <v>0</v>
      </c>
      <c r="L181">
        <f t="shared" si="8"/>
        <v>0</v>
      </c>
    </row>
    <row r="182" spans="1:12" x14ac:dyDescent="0.4">
      <c r="A182" t="s">
        <v>226</v>
      </c>
      <c r="B182" t="s">
        <v>38</v>
      </c>
      <c r="C182">
        <v>36</v>
      </c>
      <c r="D182" t="s">
        <v>34</v>
      </c>
      <c r="E182">
        <v>2</v>
      </c>
      <c r="F182">
        <v>0.5</v>
      </c>
      <c r="G182">
        <v>25</v>
      </c>
      <c r="H182">
        <v>5</v>
      </c>
      <c r="I182" t="s">
        <v>98</v>
      </c>
      <c r="J182">
        <f t="shared" si="6"/>
        <v>0</v>
      </c>
      <c r="K182">
        <f t="shared" si="7"/>
        <v>0</v>
      </c>
      <c r="L182">
        <f t="shared" si="8"/>
        <v>0</v>
      </c>
    </row>
    <row r="183" spans="1:12" x14ac:dyDescent="0.4">
      <c r="A183" t="s">
        <v>227</v>
      </c>
      <c r="B183" t="s">
        <v>33</v>
      </c>
      <c r="C183">
        <v>54</v>
      </c>
      <c r="D183" t="s">
        <v>45</v>
      </c>
      <c r="E183">
        <v>5</v>
      </c>
      <c r="F183">
        <v>1</v>
      </c>
      <c r="G183">
        <v>30</v>
      </c>
      <c r="H183">
        <v>4</v>
      </c>
      <c r="I183" t="s">
        <v>41</v>
      </c>
      <c r="J183">
        <f t="shared" si="6"/>
        <v>0</v>
      </c>
      <c r="K183">
        <f t="shared" si="7"/>
        <v>0</v>
      </c>
      <c r="L183">
        <f t="shared" si="8"/>
        <v>1</v>
      </c>
    </row>
    <row r="184" spans="1:12" x14ac:dyDescent="0.4">
      <c r="A184" t="s">
        <v>228</v>
      </c>
      <c r="B184" t="s">
        <v>38</v>
      </c>
      <c r="C184">
        <v>38</v>
      </c>
      <c r="D184" t="s">
        <v>34</v>
      </c>
      <c r="E184">
        <v>4</v>
      </c>
      <c r="F184">
        <v>1</v>
      </c>
      <c r="G184">
        <v>100</v>
      </c>
      <c r="H184">
        <v>2</v>
      </c>
      <c r="I184" t="s">
        <v>35</v>
      </c>
      <c r="J184">
        <f t="shared" si="6"/>
        <v>1</v>
      </c>
      <c r="K184">
        <f t="shared" si="7"/>
        <v>0</v>
      </c>
      <c r="L184">
        <f t="shared" si="8"/>
        <v>0</v>
      </c>
    </row>
    <row r="185" spans="1:12" x14ac:dyDescent="0.4">
      <c r="A185" t="s">
        <v>229</v>
      </c>
      <c r="B185" t="s">
        <v>38</v>
      </c>
      <c r="C185">
        <v>49</v>
      </c>
      <c r="D185" t="s">
        <v>45</v>
      </c>
      <c r="E185">
        <v>6</v>
      </c>
      <c r="F185">
        <v>0.5</v>
      </c>
      <c r="G185">
        <v>50</v>
      </c>
      <c r="H185">
        <v>3</v>
      </c>
      <c r="I185" t="s">
        <v>35</v>
      </c>
      <c r="J185">
        <f t="shared" si="6"/>
        <v>1</v>
      </c>
      <c r="K185">
        <f t="shared" si="7"/>
        <v>0</v>
      </c>
      <c r="L185">
        <f t="shared" si="8"/>
        <v>0</v>
      </c>
    </row>
    <row r="186" spans="1:12" x14ac:dyDescent="0.4">
      <c r="A186" t="s">
        <v>230</v>
      </c>
      <c r="B186" t="s">
        <v>38</v>
      </c>
      <c r="C186">
        <v>44</v>
      </c>
      <c r="D186" t="s">
        <v>34</v>
      </c>
      <c r="E186">
        <v>3</v>
      </c>
      <c r="F186">
        <v>2</v>
      </c>
      <c r="G186">
        <v>50</v>
      </c>
      <c r="H186">
        <v>4</v>
      </c>
      <c r="I186" t="s">
        <v>98</v>
      </c>
      <c r="J186">
        <f t="shared" si="6"/>
        <v>0</v>
      </c>
      <c r="K186">
        <f t="shared" si="7"/>
        <v>0</v>
      </c>
      <c r="L186">
        <f t="shared" si="8"/>
        <v>0</v>
      </c>
    </row>
    <row r="187" spans="1:12" x14ac:dyDescent="0.4">
      <c r="A187" t="s">
        <v>231</v>
      </c>
      <c r="B187" t="s">
        <v>38</v>
      </c>
      <c r="C187">
        <v>57</v>
      </c>
      <c r="D187" t="s">
        <v>52</v>
      </c>
      <c r="E187">
        <v>5</v>
      </c>
      <c r="F187">
        <v>0.5</v>
      </c>
      <c r="G187">
        <v>25</v>
      </c>
      <c r="H187">
        <v>3</v>
      </c>
      <c r="I187" t="s">
        <v>35</v>
      </c>
      <c r="J187">
        <f t="shared" si="6"/>
        <v>1</v>
      </c>
      <c r="K187">
        <f t="shared" si="7"/>
        <v>0</v>
      </c>
      <c r="L187">
        <f t="shared" si="8"/>
        <v>0</v>
      </c>
    </row>
    <row r="188" spans="1:12" x14ac:dyDescent="0.4">
      <c r="A188" t="s">
        <v>232</v>
      </c>
      <c r="B188" t="s">
        <v>38</v>
      </c>
      <c r="C188">
        <v>65</v>
      </c>
      <c r="D188" t="s">
        <v>34</v>
      </c>
      <c r="E188">
        <v>5</v>
      </c>
      <c r="F188">
        <v>0.5</v>
      </c>
      <c r="G188">
        <v>35</v>
      </c>
      <c r="H188">
        <v>2</v>
      </c>
      <c r="I188" t="s">
        <v>39</v>
      </c>
      <c r="J188">
        <f t="shared" si="6"/>
        <v>0</v>
      </c>
      <c r="K188">
        <f t="shared" si="7"/>
        <v>1</v>
      </c>
      <c r="L188">
        <f t="shared" si="8"/>
        <v>0</v>
      </c>
    </row>
    <row r="189" spans="1:12" x14ac:dyDescent="0.4">
      <c r="A189" t="s">
        <v>233</v>
      </c>
      <c r="B189" t="s">
        <v>33</v>
      </c>
      <c r="C189">
        <v>39</v>
      </c>
      <c r="D189" t="s">
        <v>45</v>
      </c>
      <c r="E189">
        <v>7</v>
      </c>
      <c r="F189">
        <v>2</v>
      </c>
      <c r="G189">
        <v>50</v>
      </c>
      <c r="H189">
        <v>2</v>
      </c>
      <c r="I189" t="s">
        <v>35</v>
      </c>
      <c r="J189">
        <f t="shared" si="6"/>
        <v>1</v>
      </c>
      <c r="K189">
        <f t="shared" si="7"/>
        <v>0</v>
      </c>
      <c r="L189">
        <f t="shared" si="8"/>
        <v>0</v>
      </c>
    </row>
    <row r="190" spans="1:12" x14ac:dyDescent="0.4">
      <c r="A190" t="s">
        <v>234</v>
      </c>
      <c r="B190" t="s">
        <v>38</v>
      </c>
      <c r="C190">
        <v>71</v>
      </c>
      <c r="D190" t="s">
        <v>34</v>
      </c>
      <c r="E190">
        <v>6</v>
      </c>
      <c r="F190">
        <v>0.5</v>
      </c>
      <c r="G190">
        <v>30</v>
      </c>
      <c r="H190">
        <v>2</v>
      </c>
      <c r="I190" t="s">
        <v>35</v>
      </c>
      <c r="J190">
        <f t="shared" si="6"/>
        <v>1</v>
      </c>
      <c r="K190">
        <f t="shared" si="7"/>
        <v>0</v>
      </c>
      <c r="L190">
        <f t="shared" si="8"/>
        <v>0</v>
      </c>
    </row>
    <row r="191" spans="1:12" x14ac:dyDescent="0.4">
      <c r="A191" t="s">
        <v>235</v>
      </c>
      <c r="B191" t="s">
        <v>38</v>
      </c>
      <c r="C191">
        <v>52</v>
      </c>
      <c r="D191" t="s">
        <v>34</v>
      </c>
      <c r="E191">
        <v>6</v>
      </c>
      <c r="F191">
        <v>1</v>
      </c>
      <c r="G191">
        <v>25</v>
      </c>
      <c r="H191">
        <v>2</v>
      </c>
      <c r="I191" t="s">
        <v>41</v>
      </c>
      <c r="J191">
        <f t="shared" si="6"/>
        <v>0</v>
      </c>
      <c r="K191">
        <f t="shared" si="7"/>
        <v>0</v>
      </c>
      <c r="L191">
        <f t="shared" si="8"/>
        <v>1</v>
      </c>
    </row>
    <row r="192" spans="1:12" x14ac:dyDescent="0.4">
      <c r="A192" t="s">
        <v>236</v>
      </c>
      <c r="B192" t="s">
        <v>38</v>
      </c>
      <c r="C192">
        <v>51</v>
      </c>
      <c r="D192" t="s">
        <v>52</v>
      </c>
      <c r="E192">
        <v>2</v>
      </c>
      <c r="F192">
        <v>0.25</v>
      </c>
      <c r="G192">
        <v>40</v>
      </c>
      <c r="H192">
        <v>2</v>
      </c>
      <c r="I192" t="s">
        <v>35</v>
      </c>
      <c r="J192">
        <f t="shared" si="6"/>
        <v>1</v>
      </c>
      <c r="K192">
        <f t="shared" si="7"/>
        <v>0</v>
      </c>
      <c r="L192">
        <f t="shared" si="8"/>
        <v>0</v>
      </c>
    </row>
    <row r="193" spans="1:12" x14ac:dyDescent="0.4">
      <c r="A193" t="s">
        <v>237</v>
      </c>
      <c r="B193" t="s">
        <v>38</v>
      </c>
      <c r="C193">
        <v>20</v>
      </c>
      <c r="D193" t="s">
        <v>52</v>
      </c>
      <c r="E193">
        <v>6</v>
      </c>
      <c r="F193">
        <v>1</v>
      </c>
      <c r="G193">
        <v>30</v>
      </c>
      <c r="H193">
        <v>3</v>
      </c>
      <c r="I193" t="s">
        <v>41</v>
      </c>
      <c r="J193">
        <f t="shared" si="6"/>
        <v>0</v>
      </c>
      <c r="K193">
        <f t="shared" si="7"/>
        <v>0</v>
      </c>
      <c r="L193">
        <f t="shared" si="8"/>
        <v>1</v>
      </c>
    </row>
    <row r="194" spans="1:12" x14ac:dyDescent="0.4">
      <c r="A194" t="s">
        <v>238</v>
      </c>
      <c r="B194" t="s">
        <v>38</v>
      </c>
      <c r="C194">
        <v>61</v>
      </c>
      <c r="D194" t="s">
        <v>34</v>
      </c>
      <c r="E194">
        <v>3</v>
      </c>
      <c r="F194">
        <v>0.5</v>
      </c>
      <c r="G194">
        <v>20</v>
      </c>
      <c r="H194">
        <v>3</v>
      </c>
      <c r="I194" t="s">
        <v>35</v>
      </c>
      <c r="J194">
        <f t="shared" si="6"/>
        <v>1</v>
      </c>
      <c r="K194">
        <f t="shared" si="7"/>
        <v>0</v>
      </c>
      <c r="L194">
        <f t="shared" si="8"/>
        <v>0</v>
      </c>
    </row>
    <row r="195" spans="1:12" x14ac:dyDescent="0.4">
      <c r="A195" t="s">
        <v>239</v>
      </c>
      <c r="B195" t="s">
        <v>38</v>
      </c>
      <c r="C195">
        <v>55</v>
      </c>
      <c r="D195" t="s">
        <v>52</v>
      </c>
      <c r="E195">
        <v>5</v>
      </c>
      <c r="F195">
        <v>0.3</v>
      </c>
      <c r="G195">
        <v>25</v>
      </c>
      <c r="H195">
        <v>3</v>
      </c>
      <c r="I195" t="s">
        <v>39</v>
      </c>
      <c r="J195">
        <f t="shared" ref="J195:J258" si="9">IF(I195="Radio", 1, 0)</f>
        <v>0</v>
      </c>
      <c r="K195">
        <f t="shared" ref="K195:K258" si="10">IF(I195="Public gatherings", 1, 0)</f>
        <v>1</v>
      </c>
      <c r="L195">
        <f t="shared" ref="L195:L258" si="11">IF(I195="Extension Services", 1, 0)</f>
        <v>0</v>
      </c>
    </row>
    <row r="196" spans="1:12" x14ac:dyDescent="0.4">
      <c r="A196" t="s">
        <v>240</v>
      </c>
      <c r="B196" t="s">
        <v>33</v>
      </c>
      <c r="C196">
        <v>29</v>
      </c>
      <c r="D196" t="s">
        <v>52</v>
      </c>
      <c r="E196">
        <v>8</v>
      </c>
      <c r="F196">
        <v>0.5</v>
      </c>
      <c r="G196">
        <v>20</v>
      </c>
      <c r="H196">
        <v>3</v>
      </c>
      <c r="I196" t="s">
        <v>41</v>
      </c>
      <c r="J196">
        <f t="shared" si="9"/>
        <v>0</v>
      </c>
      <c r="K196">
        <f t="shared" si="10"/>
        <v>0</v>
      </c>
      <c r="L196">
        <f t="shared" si="11"/>
        <v>1</v>
      </c>
    </row>
    <row r="197" spans="1:12" x14ac:dyDescent="0.4">
      <c r="A197" t="s">
        <v>241</v>
      </c>
      <c r="B197" t="s">
        <v>38</v>
      </c>
      <c r="C197">
        <v>41</v>
      </c>
      <c r="D197" t="s">
        <v>34</v>
      </c>
      <c r="E197">
        <v>4</v>
      </c>
      <c r="F197">
        <v>1</v>
      </c>
      <c r="G197">
        <v>50</v>
      </c>
      <c r="H197">
        <v>3</v>
      </c>
      <c r="I197" t="s">
        <v>35</v>
      </c>
      <c r="J197">
        <f t="shared" si="9"/>
        <v>1</v>
      </c>
      <c r="K197">
        <f t="shared" si="10"/>
        <v>0</v>
      </c>
      <c r="L197">
        <f t="shared" si="11"/>
        <v>0</v>
      </c>
    </row>
    <row r="198" spans="1:12" x14ac:dyDescent="0.4">
      <c r="A198" t="s">
        <v>242</v>
      </c>
      <c r="B198" t="s">
        <v>38</v>
      </c>
      <c r="C198">
        <v>51</v>
      </c>
      <c r="D198" t="s">
        <v>52</v>
      </c>
      <c r="E198">
        <v>7</v>
      </c>
      <c r="F198">
        <v>0.25</v>
      </c>
      <c r="G198">
        <v>100</v>
      </c>
      <c r="H198">
        <v>3</v>
      </c>
      <c r="I198" t="s">
        <v>41</v>
      </c>
      <c r="J198">
        <f t="shared" si="9"/>
        <v>0</v>
      </c>
      <c r="K198">
        <f t="shared" si="10"/>
        <v>0</v>
      </c>
      <c r="L198">
        <f t="shared" si="11"/>
        <v>1</v>
      </c>
    </row>
    <row r="199" spans="1:12" x14ac:dyDescent="0.4">
      <c r="A199" t="s">
        <v>243</v>
      </c>
      <c r="B199" t="s">
        <v>38</v>
      </c>
      <c r="C199">
        <v>38</v>
      </c>
      <c r="D199" t="s">
        <v>52</v>
      </c>
      <c r="E199">
        <v>6</v>
      </c>
      <c r="F199">
        <v>0.5</v>
      </c>
      <c r="G199">
        <v>80</v>
      </c>
      <c r="H199">
        <v>2</v>
      </c>
      <c r="I199" t="s">
        <v>35</v>
      </c>
      <c r="J199">
        <f t="shared" si="9"/>
        <v>1</v>
      </c>
      <c r="K199">
        <f t="shared" si="10"/>
        <v>0</v>
      </c>
      <c r="L199">
        <f t="shared" si="11"/>
        <v>0</v>
      </c>
    </row>
    <row r="200" spans="1:12" x14ac:dyDescent="0.4">
      <c r="A200" t="s">
        <v>244</v>
      </c>
      <c r="B200" t="s">
        <v>38</v>
      </c>
      <c r="C200">
        <v>44</v>
      </c>
      <c r="D200" t="s">
        <v>52</v>
      </c>
      <c r="E200">
        <v>6</v>
      </c>
      <c r="F200">
        <v>1</v>
      </c>
      <c r="G200">
        <v>90</v>
      </c>
      <c r="H200">
        <v>3</v>
      </c>
      <c r="I200" t="s">
        <v>41</v>
      </c>
      <c r="J200">
        <f t="shared" si="9"/>
        <v>0</v>
      </c>
      <c r="K200">
        <f t="shared" si="10"/>
        <v>0</v>
      </c>
      <c r="L200">
        <f t="shared" si="11"/>
        <v>1</v>
      </c>
    </row>
    <row r="201" spans="1:12" x14ac:dyDescent="0.4">
      <c r="A201" t="s">
        <v>245</v>
      </c>
      <c r="B201" t="s">
        <v>38</v>
      </c>
      <c r="C201">
        <v>26</v>
      </c>
      <c r="D201" t="s">
        <v>77</v>
      </c>
      <c r="E201">
        <v>6</v>
      </c>
      <c r="F201">
        <v>0.5</v>
      </c>
      <c r="G201">
        <v>20</v>
      </c>
      <c r="H201">
        <v>2</v>
      </c>
      <c r="I201" t="s">
        <v>50</v>
      </c>
      <c r="J201">
        <f t="shared" si="9"/>
        <v>0</v>
      </c>
      <c r="K201">
        <f t="shared" si="10"/>
        <v>0</v>
      </c>
      <c r="L201">
        <f t="shared" si="11"/>
        <v>0</v>
      </c>
    </row>
    <row r="202" spans="1:12" x14ac:dyDescent="0.4">
      <c r="A202" t="s">
        <v>246</v>
      </c>
      <c r="B202" t="s">
        <v>38</v>
      </c>
      <c r="C202">
        <v>65</v>
      </c>
      <c r="D202" t="s">
        <v>34</v>
      </c>
      <c r="E202">
        <v>1</v>
      </c>
      <c r="F202">
        <v>0.75</v>
      </c>
      <c r="G202">
        <v>50</v>
      </c>
      <c r="H202">
        <v>3</v>
      </c>
      <c r="I202" t="s">
        <v>39</v>
      </c>
      <c r="J202">
        <f t="shared" si="9"/>
        <v>0</v>
      </c>
      <c r="K202">
        <f t="shared" si="10"/>
        <v>1</v>
      </c>
      <c r="L202">
        <f t="shared" si="11"/>
        <v>0</v>
      </c>
    </row>
    <row r="203" spans="1:12" x14ac:dyDescent="0.4">
      <c r="A203" t="s">
        <v>247</v>
      </c>
      <c r="B203" t="s">
        <v>38</v>
      </c>
      <c r="C203">
        <v>78</v>
      </c>
      <c r="D203" t="s">
        <v>34</v>
      </c>
      <c r="E203">
        <v>5</v>
      </c>
      <c r="F203">
        <v>0.25</v>
      </c>
      <c r="G203">
        <v>25</v>
      </c>
      <c r="H203">
        <v>3</v>
      </c>
      <c r="I203" t="s">
        <v>39</v>
      </c>
      <c r="J203">
        <f t="shared" si="9"/>
        <v>0</v>
      </c>
      <c r="K203">
        <f t="shared" si="10"/>
        <v>1</v>
      </c>
      <c r="L203">
        <f t="shared" si="11"/>
        <v>0</v>
      </c>
    </row>
    <row r="204" spans="1:12" x14ac:dyDescent="0.4">
      <c r="A204" t="s">
        <v>248</v>
      </c>
      <c r="B204" t="s">
        <v>38</v>
      </c>
      <c r="C204">
        <v>46</v>
      </c>
      <c r="D204" t="s">
        <v>52</v>
      </c>
      <c r="E204">
        <v>5</v>
      </c>
      <c r="F204">
        <v>2</v>
      </c>
      <c r="G204">
        <v>100</v>
      </c>
      <c r="H204">
        <v>2</v>
      </c>
      <c r="I204" t="s">
        <v>35</v>
      </c>
      <c r="J204">
        <f t="shared" si="9"/>
        <v>1</v>
      </c>
      <c r="K204">
        <f t="shared" si="10"/>
        <v>0</v>
      </c>
      <c r="L204">
        <f t="shared" si="11"/>
        <v>0</v>
      </c>
    </row>
    <row r="205" spans="1:12" x14ac:dyDescent="0.4">
      <c r="A205" t="s">
        <v>249</v>
      </c>
      <c r="B205" t="s">
        <v>38</v>
      </c>
      <c r="C205">
        <v>38</v>
      </c>
      <c r="D205" t="s">
        <v>52</v>
      </c>
      <c r="E205">
        <v>5</v>
      </c>
      <c r="F205">
        <v>1</v>
      </c>
      <c r="G205">
        <v>75</v>
      </c>
      <c r="H205">
        <v>2</v>
      </c>
      <c r="I205" t="s">
        <v>35</v>
      </c>
      <c r="J205">
        <f t="shared" si="9"/>
        <v>1</v>
      </c>
      <c r="K205">
        <f t="shared" si="10"/>
        <v>0</v>
      </c>
      <c r="L205">
        <f t="shared" si="11"/>
        <v>0</v>
      </c>
    </row>
    <row r="206" spans="1:12" x14ac:dyDescent="0.4">
      <c r="A206" t="s">
        <v>250</v>
      </c>
      <c r="B206" t="s">
        <v>33</v>
      </c>
      <c r="C206">
        <v>37</v>
      </c>
      <c r="D206" t="s">
        <v>45</v>
      </c>
      <c r="E206">
        <v>7</v>
      </c>
      <c r="F206">
        <v>0.25</v>
      </c>
      <c r="G206">
        <v>50</v>
      </c>
      <c r="H206">
        <v>2</v>
      </c>
      <c r="I206" t="s">
        <v>35</v>
      </c>
      <c r="J206">
        <f t="shared" si="9"/>
        <v>1</v>
      </c>
      <c r="K206">
        <f t="shared" si="10"/>
        <v>0</v>
      </c>
      <c r="L206">
        <f t="shared" si="11"/>
        <v>0</v>
      </c>
    </row>
    <row r="207" spans="1:12" x14ac:dyDescent="0.4">
      <c r="A207" t="s">
        <v>251</v>
      </c>
      <c r="B207" t="s">
        <v>33</v>
      </c>
      <c r="C207">
        <v>58</v>
      </c>
      <c r="D207" t="s">
        <v>34</v>
      </c>
      <c r="E207">
        <v>6</v>
      </c>
      <c r="F207">
        <v>0.25</v>
      </c>
      <c r="G207">
        <v>150</v>
      </c>
      <c r="H207">
        <v>4</v>
      </c>
      <c r="I207" t="s">
        <v>39</v>
      </c>
      <c r="J207">
        <f t="shared" si="9"/>
        <v>0</v>
      </c>
      <c r="K207">
        <f t="shared" si="10"/>
        <v>1</v>
      </c>
      <c r="L207">
        <f t="shared" si="11"/>
        <v>0</v>
      </c>
    </row>
    <row r="208" spans="1:12" x14ac:dyDescent="0.4">
      <c r="A208" t="s">
        <v>252</v>
      </c>
      <c r="B208" t="s">
        <v>33</v>
      </c>
      <c r="C208">
        <v>24</v>
      </c>
      <c r="D208" t="s">
        <v>52</v>
      </c>
      <c r="E208">
        <v>2</v>
      </c>
      <c r="F208">
        <v>0.5</v>
      </c>
      <c r="G208">
        <v>25</v>
      </c>
      <c r="H208">
        <v>4</v>
      </c>
      <c r="I208" t="s">
        <v>41</v>
      </c>
      <c r="J208">
        <f t="shared" si="9"/>
        <v>0</v>
      </c>
      <c r="K208">
        <f t="shared" si="10"/>
        <v>0</v>
      </c>
      <c r="L208">
        <f t="shared" si="11"/>
        <v>1</v>
      </c>
    </row>
    <row r="209" spans="1:12" x14ac:dyDescent="0.4">
      <c r="A209" t="s">
        <v>253</v>
      </c>
      <c r="B209" t="s">
        <v>38</v>
      </c>
      <c r="C209">
        <v>51</v>
      </c>
      <c r="D209" t="s">
        <v>52</v>
      </c>
      <c r="E209">
        <v>3</v>
      </c>
      <c r="F209">
        <v>1</v>
      </c>
      <c r="G209">
        <v>100</v>
      </c>
      <c r="H209">
        <v>2</v>
      </c>
      <c r="I209" t="s">
        <v>50</v>
      </c>
      <c r="J209">
        <f t="shared" si="9"/>
        <v>0</v>
      </c>
      <c r="K209">
        <f t="shared" si="10"/>
        <v>0</v>
      </c>
      <c r="L209">
        <f t="shared" si="11"/>
        <v>0</v>
      </c>
    </row>
    <row r="210" spans="1:12" x14ac:dyDescent="0.4">
      <c r="A210" t="s">
        <v>254</v>
      </c>
      <c r="B210" t="s">
        <v>38</v>
      </c>
      <c r="C210">
        <v>38</v>
      </c>
      <c r="D210" t="s">
        <v>52</v>
      </c>
      <c r="E210">
        <v>4</v>
      </c>
      <c r="F210">
        <v>0.5</v>
      </c>
      <c r="G210">
        <v>40</v>
      </c>
      <c r="H210">
        <v>2</v>
      </c>
      <c r="I210" t="s">
        <v>41</v>
      </c>
      <c r="J210">
        <f t="shared" si="9"/>
        <v>0</v>
      </c>
      <c r="K210">
        <f t="shared" si="10"/>
        <v>0</v>
      </c>
      <c r="L210">
        <f t="shared" si="11"/>
        <v>1</v>
      </c>
    </row>
    <row r="211" spans="1:12" x14ac:dyDescent="0.4">
      <c r="A211" t="s">
        <v>255</v>
      </c>
      <c r="B211" t="s">
        <v>33</v>
      </c>
      <c r="C211">
        <v>64</v>
      </c>
      <c r="D211" t="s">
        <v>100</v>
      </c>
      <c r="E211">
        <v>1</v>
      </c>
      <c r="F211">
        <v>0.5</v>
      </c>
      <c r="G211">
        <v>48</v>
      </c>
      <c r="H211">
        <v>2</v>
      </c>
      <c r="I211" t="s">
        <v>35</v>
      </c>
      <c r="J211">
        <f t="shared" si="9"/>
        <v>1</v>
      </c>
      <c r="K211">
        <f t="shared" si="10"/>
        <v>0</v>
      </c>
      <c r="L211">
        <f t="shared" si="11"/>
        <v>0</v>
      </c>
    </row>
    <row r="212" spans="1:12" x14ac:dyDescent="0.4">
      <c r="A212" t="s">
        <v>256</v>
      </c>
      <c r="B212" t="s">
        <v>38</v>
      </c>
      <c r="C212">
        <v>50</v>
      </c>
      <c r="D212" t="s">
        <v>34</v>
      </c>
      <c r="E212">
        <v>4</v>
      </c>
      <c r="F212">
        <v>0.5</v>
      </c>
      <c r="G212">
        <v>40</v>
      </c>
      <c r="H212">
        <v>3</v>
      </c>
      <c r="I212" t="s">
        <v>35</v>
      </c>
      <c r="J212">
        <f t="shared" si="9"/>
        <v>1</v>
      </c>
      <c r="K212">
        <f t="shared" si="10"/>
        <v>0</v>
      </c>
      <c r="L212">
        <f t="shared" si="11"/>
        <v>0</v>
      </c>
    </row>
    <row r="213" spans="1:12" x14ac:dyDescent="0.4">
      <c r="A213" t="s">
        <v>257</v>
      </c>
      <c r="B213" t="s">
        <v>33</v>
      </c>
      <c r="C213">
        <v>53</v>
      </c>
      <c r="D213" t="s">
        <v>45</v>
      </c>
      <c r="E213">
        <v>5</v>
      </c>
      <c r="F213">
        <v>1</v>
      </c>
      <c r="G213">
        <v>120</v>
      </c>
      <c r="H213">
        <v>3</v>
      </c>
      <c r="I213" t="s">
        <v>39</v>
      </c>
      <c r="J213">
        <f t="shared" si="9"/>
        <v>0</v>
      </c>
      <c r="K213">
        <f t="shared" si="10"/>
        <v>1</v>
      </c>
      <c r="L213">
        <f t="shared" si="11"/>
        <v>0</v>
      </c>
    </row>
    <row r="214" spans="1:12" x14ac:dyDescent="0.4">
      <c r="A214" t="s">
        <v>258</v>
      </c>
      <c r="B214" t="s">
        <v>38</v>
      </c>
      <c r="C214">
        <v>50</v>
      </c>
      <c r="D214" t="s">
        <v>34</v>
      </c>
      <c r="E214">
        <v>3</v>
      </c>
      <c r="F214">
        <v>0.5</v>
      </c>
      <c r="G214">
        <v>50</v>
      </c>
      <c r="H214">
        <v>2</v>
      </c>
      <c r="I214" t="s">
        <v>39</v>
      </c>
      <c r="J214">
        <f t="shared" si="9"/>
        <v>0</v>
      </c>
      <c r="K214">
        <f t="shared" si="10"/>
        <v>1</v>
      </c>
      <c r="L214">
        <f t="shared" si="11"/>
        <v>0</v>
      </c>
    </row>
    <row r="215" spans="1:12" x14ac:dyDescent="0.4">
      <c r="A215" t="s">
        <v>259</v>
      </c>
      <c r="B215" t="s">
        <v>38</v>
      </c>
      <c r="C215">
        <v>37</v>
      </c>
      <c r="D215" t="s">
        <v>34</v>
      </c>
      <c r="E215">
        <v>6</v>
      </c>
      <c r="F215">
        <v>1</v>
      </c>
      <c r="G215">
        <v>100</v>
      </c>
      <c r="H215">
        <v>2</v>
      </c>
      <c r="I215" t="s">
        <v>41</v>
      </c>
      <c r="J215">
        <f t="shared" si="9"/>
        <v>0</v>
      </c>
      <c r="K215">
        <f t="shared" si="10"/>
        <v>0</v>
      </c>
      <c r="L215">
        <f t="shared" si="11"/>
        <v>1</v>
      </c>
    </row>
    <row r="216" spans="1:12" x14ac:dyDescent="0.4">
      <c r="A216" t="s">
        <v>260</v>
      </c>
      <c r="B216" t="s">
        <v>38</v>
      </c>
      <c r="C216">
        <v>41</v>
      </c>
      <c r="D216" t="s">
        <v>52</v>
      </c>
      <c r="E216">
        <v>6</v>
      </c>
      <c r="F216">
        <v>0.5</v>
      </c>
      <c r="G216">
        <v>50</v>
      </c>
      <c r="H216">
        <v>2</v>
      </c>
      <c r="I216" t="s">
        <v>35</v>
      </c>
      <c r="J216">
        <f t="shared" si="9"/>
        <v>1</v>
      </c>
      <c r="K216">
        <f t="shared" si="10"/>
        <v>0</v>
      </c>
      <c r="L216">
        <f t="shared" si="11"/>
        <v>0</v>
      </c>
    </row>
    <row r="217" spans="1:12" x14ac:dyDescent="0.4">
      <c r="A217" t="s">
        <v>261</v>
      </c>
      <c r="B217" t="s">
        <v>38</v>
      </c>
      <c r="C217">
        <v>34</v>
      </c>
      <c r="D217" t="s">
        <v>52</v>
      </c>
      <c r="E217">
        <v>5</v>
      </c>
      <c r="F217">
        <v>0.75</v>
      </c>
      <c r="G217">
        <v>25</v>
      </c>
      <c r="H217">
        <v>2</v>
      </c>
      <c r="I217" t="s">
        <v>35</v>
      </c>
      <c r="J217">
        <f t="shared" si="9"/>
        <v>1</v>
      </c>
      <c r="K217">
        <f t="shared" si="10"/>
        <v>0</v>
      </c>
      <c r="L217">
        <f t="shared" si="11"/>
        <v>0</v>
      </c>
    </row>
    <row r="218" spans="1:12" x14ac:dyDescent="0.4">
      <c r="A218" t="s">
        <v>262</v>
      </c>
      <c r="B218" t="s">
        <v>38</v>
      </c>
      <c r="C218">
        <v>39</v>
      </c>
      <c r="D218" t="s">
        <v>34</v>
      </c>
      <c r="E218">
        <v>5</v>
      </c>
      <c r="F218">
        <v>0.25</v>
      </c>
      <c r="G218">
        <v>20</v>
      </c>
      <c r="H218">
        <v>2</v>
      </c>
      <c r="I218" t="s">
        <v>35</v>
      </c>
      <c r="J218">
        <f t="shared" si="9"/>
        <v>1</v>
      </c>
      <c r="K218">
        <f t="shared" si="10"/>
        <v>0</v>
      </c>
      <c r="L218">
        <f t="shared" si="11"/>
        <v>0</v>
      </c>
    </row>
    <row r="219" spans="1:12" x14ac:dyDescent="0.4">
      <c r="A219" t="s">
        <v>263</v>
      </c>
      <c r="B219" t="s">
        <v>38</v>
      </c>
      <c r="C219">
        <v>72</v>
      </c>
      <c r="D219" t="s">
        <v>34</v>
      </c>
      <c r="E219">
        <v>4</v>
      </c>
      <c r="F219">
        <v>0.25</v>
      </c>
      <c r="G219">
        <v>30</v>
      </c>
      <c r="H219">
        <v>4</v>
      </c>
      <c r="I219" t="s">
        <v>35</v>
      </c>
      <c r="J219">
        <f t="shared" si="9"/>
        <v>1</v>
      </c>
      <c r="K219">
        <f t="shared" si="10"/>
        <v>0</v>
      </c>
      <c r="L219">
        <f t="shared" si="11"/>
        <v>0</v>
      </c>
    </row>
    <row r="220" spans="1:12" x14ac:dyDescent="0.4">
      <c r="A220" t="s">
        <v>264</v>
      </c>
      <c r="B220" t="s">
        <v>38</v>
      </c>
      <c r="C220">
        <v>51</v>
      </c>
      <c r="D220" t="s">
        <v>52</v>
      </c>
      <c r="E220">
        <v>3</v>
      </c>
      <c r="F220">
        <v>1</v>
      </c>
      <c r="G220">
        <v>25</v>
      </c>
      <c r="H220">
        <v>2</v>
      </c>
      <c r="I220" t="s">
        <v>41</v>
      </c>
      <c r="J220">
        <f t="shared" si="9"/>
        <v>0</v>
      </c>
      <c r="K220">
        <f t="shared" si="10"/>
        <v>0</v>
      </c>
      <c r="L220">
        <f t="shared" si="11"/>
        <v>1</v>
      </c>
    </row>
    <row r="221" spans="1:12" x14ac:dyDescent="0.4">
      <c r="A221" t="s">
        <v>265</v>
      </c>
      <c r="B221" t="s">
        <v>38</v>
      </c>
      <c r="C221">
        <v>40</v>
      </c>
      <c r="D221" t="s">
        <v>34</v>
      </c>
      <c r="E221">
        <v>4</v>
      </c>
      <c r="F221">
        <v>1</v>
      </c>
      <c r="G221">
        <v>25</v>
      </c>
      <c r="H221">
        <v>2</v>
      </c>
      <c r="I221" t="s">
        <v>41</v>
      </c>
      <c r="J221">
        <f t="shared" si="9"/>
        <v>0</v>
      </c>
      <c r="K221">
        <f t="shared" si="10"/>
        <v>0</v>
      </c>
      <c r="L221">
        <f t="shared" si="11"/>
        <v>1</v>
      </c>
    </row>
    <row r="222" spans="1:12" x14ac:dyDescent="0.4">
      <c r="A222" t="s">
        <v>266</v>
      </c>
      <c r="B222" t="s">
        <v>38</v>
      </c>
      <c r="C222">
        <v>62</v>
      </c>
      <c r="D222" t="s">
        <v>52</v>
      </c>
      <c r="E222">
        <v>5</v>
      </c>
      <c r="F222">
        <v>0.5</v>
      </c>
      <c r="G222">
        <v>50</v>
      </c>
      <c r="H222">
        <v>4</v>
      </c>
      <c r="I222" t="s">
        <v>35</v>
      </c>
      <c r="J222">
        <f t="shared" si="9"/>
        <v>1</v>
      </c>
      <c r="K222">
        <f t="shared" si="10"/>
        <v>0</v>
      </c>
      <c r="L222">
        <f t="shared" si="11"/>
        <v>0</v>
      </c>
    </row>
    <row r="223" spans="1:12" x14ac:dyDescent="0.4">
      <c r="A223" t="s">
        <v>267</v>
      </c>
      <c r="B223" t="s">
        <v>38</v>
      </c>
      <c r="C223">
        <v>53</v>
      </c>
      <c r="D223" t="s">
        <v>52</v>
      </c>
      <c r="E223">
        <v>4</v>
      </c>
      <c r="F223">
        <v>0.5</v>
      </c>
      <c r="G223">
        <v>80</v>
      </c>
      <c r="H223">
        <v>3</v>
      </c>
      <c r="I223" t="s">
        <v>39</v>
      </c>
      <c r="J223">
        <f t="shared" si="9"/>
        <v>0</v>
      </c>
      <c r="K223">
        <f t="shared" si="10"/>
        <v>1</v>
      </c>
      <c r="L223">
        <f t="shared" si="11"/>
        <v>0</v>
      </c>
    </row>
    <row r="224" spans="1:12" x14ac:dyDescent="0.4">
      <c r="A224" t="s">
        <v>268</v>
      </c>
      <c r="B224" t="s">
        <v>38</v>
      </c>
      <c r="C224">
        <v>31</v>
      </c>
      <c r="D224" t="s">
        <v>34</v>
      </c>
      <c r="E224">
        <v>4</v>
      </c>
      <c r="F224">
        <v>2.5</v>
      </c>
      <c r="G224">
        <v>50</v>
      </c>
      <c r="H224">
        <v>3</v>
      </c>
      <c r="I224" t="s">
        <v>35</v>
      </c>
      <c r="J224">
        <f t="shared" si="9"/>
        <v>1</v>
      </c>
      <c r="K224">
        <f t="shared" si="10"/>
        <v>0</v>
      </c>
      <c r="L224">
        <f t="shared" si="11"/>
        <v>0</v>
      </c>
    </row>
    <row r="225" spans="1:12" x14ac:dyDescent="0.4">
      <c r="A225" t="s">
        <v>269</v>
      </c>
      <c r="B225" t="s">
        <v>38</v>
      </c>
      <c r="C225">
        <v>57</v>
      </c>
      <c r="D225" t="s">
        <v>34</v>
      </c>
      <c r="E225">
        <v>5</v>
      </c>
      <c r="F225">
        <v>0.25</v>
      </c>
      <c r="G225">
        <v>25</v>
      </c>
      <c r="H225">
        <v>3</v>
      </c>
      <c r="I225" t="s">
        <v>39</v>
      </c>
      <c r="J225">
        <f t="shared" si="9"/>
        <v>0</v>
      </c>
      <c r="K225">
        <f t="shared" si="10"/>
        <v>1</v>
      </c>
      <c r="L225">
        <f t="shared" si="11"/>
        <v>0</v>
      </c>
    </row>
    <row r="226" spans="1:12" x14ac:dyDescent="0.4">
      <c r="A226" t="s">
        <v>270</v>
      </c>
      <c r="B226" t="s">
        <v>38</v>
      </c>
      <c r="C226">
        <v>75</v>
      </c>
      <c r="D226" t="s">
        <v>34</v>
      </c>
      <c r="E226">
        <v>5</v>
      </c>
      <c r="F226">
        <v>0.25</v>
      </c>
      <c r="G226">
        <v>25</v>
      </c>
      <c r="H226">
        <v>4</v>
      </c>
      <c r="I226" t="s">
        <v>50</v>
      </c>
      <c r="J226">
        <f t="shared" si="9"/>
        <v>0</v>
      </c>
      <c r="K226">
        <f t="shared" si="10"/>
        <v>0</v>
      </c>
      <c r="L226">
        <f t="shared" si="11"/>
        <v>0</v>
      </c>
    </row>
    <row r="227" spans="1:12" x14ac:dyDescent="0.4">
      <c r="A227" t="s">
        <v>271</v>
      </c>
      <c r="B227" t="s">
        <v>33</v>
      </c>
      <c r="C227">
        <v>38</v>
      </c>
      <c r="D227" t="s">
        <v>52</v>
      </c>
      <c r="E227">
        <v>9</v>
      </c>
      <c r="F227">
        <v>0.5</v>
      </c>
      <c r="G227">
        <v>200</v>
      </c>
      <c r="H227">
        <v>5</v>
      </c>
      <c r="I227" t="s">
        <v>35</v>
      </c>
      <c r="J227">
        <f t="shared" si="9"/>
        <v>1</v>
      </c>
      <c r="K227">
        <f t="shared" si="10"/>
        <v>0</v>
      </c>
      <c r="L227">
        <f t="shared" si="11"/>
        <v>0</v>
      </c>
    </row>
    <row r="228" spans="1:12" x14ac:dyDescent="0.4">
      <c r="A228" t="s">
        <v>272</v>
      </c>
      <c r="B228" t="s">
        <v>38</v>
      </c>
      <c r="C228">
        <v>71</v>
      </c>
      <c r="D228" t="s">
        <v>34</v>
      </c>
      <c r="E228">
        <v>4</v>
      </c>
      <c r="F228">
        <v>0.75</v>
      </c>
      <c r="G228">
        <v>25</v>
      </c>
      <c r="H228">
        <v>3</v>
      </c>
      <c r="I228" t="s">
        <v>35</v>
      </c>
      <c r="J228">
        <f t="shared" si="9"/>
        <v>1</v>
      </c>
      <c r="K228">
        <f t="shared" si="10"/>
        <v>0</v>
      </c>
      <c r="L228">
        <f t="shared" si="11"/>
        <v>0</v>
      </c>
    </row>
    <row r="229" spans="1:12" x14ac:dyDescent="0.4">
      <c r="A229" t="s">
        <v>273</v>
      </c>
      <c r="B229" t="s">
        <v>38</v>
      </c>
      <c r="C229">
        <v>63</v>
      </c>
      <c r="D229" t="s">
        <v>34</v>
      </c>
      <c r="E229">
        <v>3</v>
      </c>
      <c r="F229">
        <v>0.5</v>
      </c>
      <c r="G229">
        <v>100</v>
      </c>
      <c r="H229">
        <v>3</v>
      </c>
      <c r="I229" t="s">
        <v>35</v>
      </c>
      <c r="J229">
        <f t="shared" si="9"/>
        <v>1</v>
      </c>
      <c r="K229">
        <f t="shared" si="10"/>
        <v>0</v>
      </c>
      <c r="L229">
        <f t="shared" si="11"/>
        <v>0</v>
      </c>
    </row>
    <row r="230" spans="1:12" x14ac:dyDescent="0.4">
      <c r="A230" t="s">
        <v>274</v>
      </c>
      <c r="B230" t="s">
        <v>33</v>
      </c>
      <c r="C230">
        <v>37</v>
      </c>
      <c r="D230" t="s">
        <v>45</v>
      </c>
      <c r="E230">
        <v>7</v>
      </c>
      <c r="F230">
        <v>3</v>
      </c>
      <c r="G230">
        <v>251</v>
      </c>
      <c r="H230">
        <v>2</v>
      </c>
      <c r="I230" t="s">
        <v>35</v>
      </c>
      <c r="J230">
        <f t="shared" si="9"/>
        <v>1</v>
      </c>
      <c r="K230">
        <f t="shared" si="10"/>
        <v>0</v>
      </c>
      <c r="L230">
        <f t="shared" si="11"/>
        <v>0</v>
      </c>
    </row>
    <row r="231" spans="1:12" x14ac:dyDescent="0.4">
      <c r="A231" t="s">
        <v>275</v>
      </c>
      <c r="B231" t="s">
        <v>33</v>
      </c>
      <c r="C231">
        <v>73</v>
      </c>
      <c r="D231" t="s">
        <v>34</v>
      </c>
      <c r="E231">
        <v>5</v>
      </c>
      <c r="F231">
        <v>0.3</v>
      </c>
      <c r="G231">
        <v>20</v>
      </c>
      <c r="H231">
        <v>3</v>
      </c>
      <c r="I231" t="s">
        <v>39</v>
      </c>
      <c r="J231">
        <f t="shared" si="9"/>
        <v>0</v>
      </c>
      <c r="K231">
        <f t="shared" si="10"/>
        <v>1</v>
      </c>
      <c r="L231">
        <f t="shared" si="11"/>
        <v>0</v>
      </c>
    </row>
    <row r="232" spans="1:12" x14ac:dyDescent="0.4">
      <c r="A232" t="s">
        <v>276</v>
      </c>
      <c r="B232" t="s">
        <v>38</v>
      </c>
      <c r="C232">
        <v>43</v>
      </c>
      <c r="D232" t="s">
        <v>52</v>
      </c>
      <c r="E232">
        <v>6</v>
      </c>
      <c r="F232">
        <v>1.5</v>
      </c>
      <c r="G232">
        <v>100</v>
      </c>
      <c r="H232">
        <v>2</v>
      </c>
      <c r="I232" t="s">
        <v>39</v>
      </c>
      <c r="J232">
        <f t="shared" si="9"/>
        <v>0</v>
      </c>
      <c r="K232">
        <f t="shared" si="10"/>
        <v>1</v>
      </c>
      <c r="L232">
        <f t="shared" si="11"/>
        <v>0</v>
      </c>
    </row>
    <row r="233" spans="1:12" x14ac:dyDescent="0.4">
      <c r="A233" t="s">
        <v>277</v>
      </c>
      <c r="B233" t="s">
        <v>38</v>
      </c>
      <c r="C233">
        <v>56</v>
      </c>
      <c r="D233" t="s">
        <v>52</v>
      </c>
      <c r="E233">
        <v>3</v>
      </c>
      <c r="F233">
        <v>3</v>
      </c>
      <c r="G233">
        <v>480</v>
      </c>
      <c r="H233">
        <v>2</v>
      </c>
      <c r="I233" t="s">
        <v>39</v>
      </c>
      <c r="J233">
        <f t="shared" si="9"/>
        <v>0</v>
      </c>
      <c r="K233">
        <f t="shared" si="10"/>
        <v>1</v>
      </c>
      <c r="L233">
        <f t="shared" si="11"/>
        <v>0</v>
      </c>
    </row>
    <row r="234" spans="1:12" x14ac:dyDescent="0.4">
      <c r="A234" t="s">
        <v>278</v>
      </c>
      <c r="B234" t="s">
        <v>38</v>
      </c>
      <c r="C234">
        <v>36</v>
      </c>
      <c r="D234" t="s">
        <v>34</v>
      </c>
      <c r="E234">
        <v>4</v>
      </c>
      <c r="F234">
        <v>1</v>
      </c>
      <c r="G234">
        <v>20</v>
      </c>
      <c r="H234">
        <v>3</v>
      </c>
      <c r="I234" t="s">
        <v>35</v>
      </c>
      <c r="J234">
        <f t="shared" si="9"/>
        <v>1</v>
      </c>
      <c r="K234">
        <f t="shared" si="10"/>
        <v>0</v>
      </c>
      <c r="L234">
        <f t="shared" si="11"/>
        <v>0</v>
      </c>
    </row>
    <row r="235" spans="1:12" x14ac:dyDescent="0.4">
      <c r="A235" t="s">
        <v>279</v>
      </c>
      <c r="B235" t="s">
        <v>38</v>
      </c>
      <c r="C235">
        <v>41</v>
      </c>
      <c r="D235" t="s">
        <v>52</v>
      </c>
      <c r="E235">
        <v>6</v>
      </c>
      <c r="F235">
        <v>0.75</v>
      </c>
      <c r="G235">
        <v>70</v>
      </c>
      <c r="H235">
        <v>3</v>
      </c>
      <c r="I235" t="s">
        <v>39</v>
      </c>
      <c r="J235">
        <f t="shared" si="9"/>
        <v>0</v>
      </c>
      <c r="K235">
        <f t="shared" si="10"/>
        <v>1</v>
      </c>
      <c r="L235">
        <f t="shared" si="11"/>
        <v>0</v>
      </c>
    </row>
    <row r="236" spans="1:12" x14ac:dyDescent="0.4">
      <c r="A236" t="s">
        <v>280</v>
      </c>
      <c r="B236" t="s">
        <v>33</v>
      </c>
      <c r="C236">
        <v>19</v>
      </c>
      <c r="D236" t="s">
        <v>34</v>
      </c>
      <c r="E236">
        <v>5</v>
      </c>
      <c r="F236">
        <v>1.5</v>
      </c>
      <c r="G236">
        <v>25</v>
      </c>
      <c r="H236">
        <v>4</v>
      </c>
      <c r="I236" t="s">
        <v>35</v>
      </c>
      <c r="J236">
        <f t="shared" si="9"/>
        <v>1</v>
      </c>
      <c r="K236">
        <f t="shared" si="10"/>
        <v>0</v>
      </c>
      <c r="L236">
        <f t="shared" si="11"/>
        <v>0</v>
      </c>
    </row>
    <row r="237" spans="1:12" x14ac:dyDescent="0.4">
      <c r="A237" t="s">
        <v>281</v>
      </c>
      <c r="B237" t="s">
        <v>38</v>
      </c>
      <c r="C237">
        <v>37</v>
      </c>
      <c r="D237" t="s">
        <v>34</v>
      </c>
      <c r="E237">
        <v>3</v>
      </c>
      <c r="F237">
        <v>2</v>
      </c>
      <c r="G237">
        <v>100</v>
      </c>
      <c r="H237">
        <v>2</v>
      </c>
      <c r="I237" t="s">
        <v>35</v>
      </c>
      <c r="J237">
        <f t="shared" si="9"/>
        <v>1</v>
      </c>
      <c r="K237">
        <f t="shared" si="10"/>
        <v>0</v>
      </c>
      <c r="L237">
        <f t="shared" si="11"/>
        <v>0</v>
      </c>
    </row>
    <row r="238" spans="1:12" x14ac:dyDescent="0.4">
      <c r="A238" t="s">
        <v>282</v>
      </c>
      <c r="B238" t="s">
        <v>33</v>
      </c>
      <c r="C238">
        <v>63</v>
      </c>
      <c r="D238" t="s">
        <v>34</v>
      </c>
      <c r="E238">
        <v>6</v>
      </c>
      <c r="F238">
        <v>0.25</v>
      </c>
      <c r="G238">
        <v>100</v>
      </c>
      <c r="H238">
        <v>3</v>
      </c>
      <c r="I238" t="s">
        <v>39</v>
      </c>
      <c r="J238">
        <f t="shared" si="9"/>
        <v>0</v>
      </c>
      <c r="K238">
        <f t="shared" si="10"/>
        <v>1</v>
      </c>
      <c r="L238">
        <f t="shared" si="11"/>
        <v>0</v>
      </c>
    </row>
    <row r="239" spans="1:12" x14ac:dyDescent="0.4">
      <c r="A239" t="s">
        <v>283</v>
      </c>
      <c r="B239" t="s">
        <v>38</v>
      </c>
      <c r="C239">
        <v>61</v>
      </c>
      <c r="D239" t="s">
        <v>34</v>
      </c>
      <c r="E239">
        <v>3</v>
      </c>
      <c r="F239">
        <v>1</v>
      </c>
      <c r="G239">
        <v>100</v>
      </c>
      <c r="H239">
        <v>3</v>
      </c>
      <c r="I239" t="s">
        <v>35</v>
      </c>
      <c r="J239">
        <f t="shared" si="9"/>
        <v>1</v>
      </c>
      <c r="K239">
        <f t="shared" si="10"/>
        <v>0</v>
      </c>
      <c r="L239">
        <f t="shared" si="11"/>
        <v>0</v>
      </c>
    </row>
    <row r="240" spans="1:12" x14ac:dyDescent="0.4">
      <c r="A240" t="s">
        <v>284</v>
      </c>
      <c r="B240" t="s">
        <v>38</v>
      </c>
      <c r="C240">
        <v>41</v>
      </c>
      <c r="D240" t="s">
        <v>52</v>
      </c>
      <c r="E240">
        <v>5</v>
      </c>
      <c r="F240">
        <v>0.25</v>
      </c>
      <c r="G240">
        <v>150</v>
      </c>
      <c r="H240">
        <v>2</v>
      </c>
      <c r="I240" t="s">
        <v>39</v>
      </c>
      <c r="J240">
        <f t="shared" si="9"/>
        <v>0</v>
      </c>
      <c r="K240">
        <f t="shared" si="10"/>
        <v>1</v>
      </c>
      <c r="L240">
        <f t="shared" si="11"/>
        <v>0</v>
      </c>
    </row>
    <row r="241" spans="1:12" x14ac:dyDescent="0.4">
      <c r="A241" t="s">
        <v>285</v>
      </c>
      <c r="B241" t="s">
        <v>33</v>
      </c>
      <c r="C241">
        <v>51</v>
      </c>
      <c r="D241" t="s">
        <v>34</v>
      </c>
      <c r="E241">
        <v>6</v>
      </c>
      <c r="F241">
        <v>0.25</v>
      </c>
      <c r="G241">
        <v>50</v>
      </c>
      <c r="H241">
        <v>5</v>
      </c>
      <c r="I241" t="s">
        <v>35</v>
      </c>
      <c r="J241">
        <f t="shared" si="9"/>
        <v>1</v>
      </c>
      <c r="K241">
        <f t="shared" si="10"/>
        <v>0</v>
      </c>
      <c r="L241">
        <f t="shared" si="11"/>
        <v>0</v>
      </c>
    </row>
    <row r="242" spans="1:12" x14ac:dyDescent="0.4">
      <c r="A242" t="s">
        <v>286</v>
      </c>
      <c r="B242" t="s">
        <v>38</v>
      </c>
      <c r="C242">
        <v>42</v>
      </c>
      <c r="D242" t="s">
        <v>52</v>
      </c>
      <c r="E242">
        <v>5</v>
      </c>
      <c r="F242">
        <v>1</v>
      </c>
      <c r="G242">
        <v>50</v>
      </c>
      <c r="H242">
        <v>3</v>
      </c>
      <c r="I242" t="s">
        <v>41</v>
      </c>
      <c r="J242">
        <f t="shared" si="9"/>
        <v>0</v>
      </c>
      <c r="K242">
        <f t="shared" si="10"/>
        <v>0</v>
      </c>
      <c r="L242">
        <f t="shared" si="11"/>
        <v>1</v>
      </c>
    </row>
    <row r="243" spans="1:12" x14ac:dyDescent="0.4">
      <c r="A243" t="s">
        <v>287</v>
      </c>
      <c r="B243" t="s">
        <v>38</v>
      </c>
      <c r="C243">
        <v>49</v>
      </c>
      <c r="D243" t="s">
        <v>34</v>
      </c>
      <c r="E243">
        <v>2</v>
      </c>
      <c r="F243">
        <v>1</v>
      </c>
      <c r="G243">
        <v>50</v>
      </c>
      <c r="H243">
        <v>4</v>
      </c>
      <c r="I243" t="s">
        <v>39</v>
      </c>
      <c r="J243">
        <f t="shared" si="9"/>
        <v>0</v>
      </c>
      <c r="K243">
        <f t="shared" si="10"/>
        <v>1</v>
      </c>
      <c r="L243">
        <f t="shared" si="11"/>
        <v>0</v>
      </c>
    </row>
    <row r="244" spans="1:12" x14ac:dyDescent="0.4">
      <c r="A244" t="s">
        <v>288</v>
      </c>
      <c r="B244" t="s">
        <v>38</v>
      </c>
      <c r="C244">
        <v>64</v>
      </c>
      <c r="D244" t="s">
        <v>34</v>
      </c>
      <c r="E244">
        <v>3</v>
      </c>
      <c r="F244">
        <v>0.5</v>
      </c>
      <c r="G244">
        <v>40</v>
      </c>
      <c r="H244">
        <v>2</v>
      </c>
      <c r="I244" t="s">
        <v>35</v>
      </c>
      <c r="J244">
        <f t="shared" si="9"/>
        <v>1</v>
      </c>
      <c r="K244">
        <f t="shared" si="10"/>
        <v>0</v>
      </c>
      <c r="L244">
        <f t="shared" si="11"/>
        <v>0</v>
      </c>
    </row>
    <row r="245" spans="1:12" x14ac:dyDescent="0.4">
      <c r="A245" t="s">
        <v>289</v>
      </c>
      <c r="B245" t="s">
        <v>38</v>
      </c>
      <c r="C245">
        <v>65</v>
      </c>
      <c r="D245" t="s">
        <v>34</v>
      </c>
      <c r="E245">
        <v>1</v>
      </c>
      <c r="F245">
        <v>0.25</v>
      </c>
      <c r="G245">
        <v>30</v>
      </c>
      <c r="H245">
        <v>3</v>
      </c>
      <c r="I245" t="s">
        <v>35</v>
      </c>
      <c r="J245">
        <f t="shared" si="9"/>
        <v>1</v>
      </c>
      <c r="K245">
        <f t="shared" si="10"/>
        <v>0</v>
      </c>
      <c r="L245">
        <f t="shared" si="11"/>
        <v>0</v>
      </c>
    </row>
    <row r="246" spans="1:12" x14ac:dyDescent="0.4">
      <c r="A246" t="s">
        <v>290</v>
      </c>
      <c r="B246" t="s">
        <v>33</v>
      </c>
      <c r="C246">
        <v>60</v>
      </c>
      <c r="D246" t="s">
        <v>34</v>
      </c>
      <c r="E246">
        <v>6</v>
      </c>
      <c r="F246">
        <v>0.3</v>
      </c>
      <c r="G246">
        <v>50</v>
      </c>
      <c r="H246">
        <v>5</v>
      </c>
      <c r="I246" t="s">
        <v>39</v>
      </c>
      <c r="J246">
        <f t="shared" si="9"/>
        <v>0</v>
      </c>
      <c r="K246">
        <f t="shared" si="10"/>
        <v>1</v>
      </c>
      <c r="L246">
        <f t="shared" si="11"/>
        <v>0</v>
      </c>
    </row>
    <row r="247" spans="1:12" x14ac:dyDescent="0.4">
      <c r="A247" t="s">
        <v>291</v>
      </c>
      <c r="B247" t="s">
        <v>38</v>
      </c>
      <c r="C247">
        <v>39</v>
      </c>
      <c r="D247" t="s">
        <v>52</v>
      </c>
      <c r="E247">
        <v>2</v>
      </c>
      <c r="F247">
        <v>2</v>
      </c>
      <c r="G247">
        <v>50</v>
      </c>
      <c r="H247">
        <v>2</v>
      </c>
      <c r="I247" t="s">
        <v>41</v>
      </c>
      <c r="J247">
        <f t="shared" si="9"/>
        <v>0</v>
      </c>
      <c r="K247">
        <f t="shared" si="10"/>
        <v>0</v>
      </c>
      <c r="L247">
        <f t="shared" si="11"/>
        <v>1</v>
      </c>
    </row>
    <row r="248" spans="1:12" x14ac:dyDescent="0.4">
      <c r="A248" t="s">
        <v>292</v>
      </c>
      <c r="B248" t="s">
        <v>33</v>
      </c>
      <c r="C248">
        <v>55</v>
      </c>
      <c r="D248" t="s">
        <v>34</v>
      </c>
      <c r="E248">
        <v>6</v>
      </c>
      <c r="F248">
        <v>0.25</v>
      </c>
      <c r="G248">
        <v>50</v>
      </c>
      <c r="H248">
        <v>3</v>
      </c>
      <c r="I248" t="s">
        <v>35</v>
      </c>
      <c r="J248">
        <f t="shared" si="9"/>
        <v>1</v>
      </c>
      <c r="K248">
        <f t="shared" si="10"/>
        <v>0</v>
      </c>
      <c r="L248">
        <f t="shared" si="11"/>
        <v>0</v>
      </c>
    </row>
    <row r="249" spans="1:12" x14ac:dyDescent="0.4">
      <c r="A249" t="s">
        <v>293</v>
      </c>
      <c r="B249" t="s">
        <v>33</v>
      </c>
      <c r="C249">
        <v>46</v>
      </c>
      <c r="D249" t="s">
        <v>45</v>
      </c>
      <c r="E249">
        <v>3</v>
      </c>
      <c r="F249">
        <v>0.5</v>
      </c>
      <c r="G249">
        <v>25</v>
      </c>
      <c r="H249">
        <v>2</v>
      </c>
      <c r="I249" t="s">
        <v>35</v>
      </c>
      <c r="J249">
        <f t="shared" si="9"/>
        <v>1</v>
      </c>
      <c r="K249">
        <f t="shared" si="10"/>
        <v>0</v>
      </c>
      <c r="L249">
        <f t="shared" si="11"/>
        <v>0</v>
      </c>
    </row>
    <row r="250" spans="1:12" x14ac:dyDescent="0.4">
      <c r="A250" t="s">
        <v>294</v>
      </c>
      <c r="B250" t="s">
        <v>38</v>
      </c>
      <c r="C250">
        <v>53</v>
      </c>
      <c r="D250" t="s">
        <v>34</v>
      </c>
      <c r="E250">
        <v>2</v>
      </c>
      <c r="F250">
        <v>0.5</v>
      </c>
      <c r="G250">
        <v>20</v>
      </c>
      <c r="H250">
        <v>3</v>
      </c>
      <c r="I250" t="s">
        <v>35</v>
      </c>
      <c r="J250">
        <f t="shared" si="9"/>
        <v>1</v>
      </c>
      <c r="K250">
        <f t="shared" si="10"/>
        <v>0</v>
      </c>
      <c r="L250">
        <f t="shared" si="11"/>
        <v>0</v>
      </c>
    </row>
    <row r="251" spans="1:12" x14ac:dyDescent="0.4">
      <c r="A251" t="s">
        <v>295</v>
      </c>
      <c r="B251" t="s">
        <v>33</v>
      </c>
      <c r="C251">
        <v>30</v>
      </c>
      <c r="D251" t="s">
        <v>52</v>
      </c>
      <c r="E251">
        <v>1</v>
      </c>
      <c r="F251">
        <v>1.5</v>
      </c>
      <c r="G251">
        <v>20</v>
      </c>
      <c r="H251">
        <v>4</v>
      </c>
      <c r="I251" t="s">
        <v>35</v>
      </c>
      <c r="J251">
        <f t="shared" si="9"/>
        <v>1</v>
      </c>
      <c r="K251">
        <f t="shared" si="10"/>
        <v>0</v>
      </c>
      <c r="L251">
        <f t="shared" si="11"/>
        <v>0</v>
      </c>
    </row>
    <row r="252" spans="1:12" x14ac:dyDescent="0.4">
      <c r="A252" t="s">
        <v>296</v>
      </c>
      <c r="B252" t="s">
        <v>38</v>
      </c>
      <c r="C252">
        <v>39</v>
      </c>
      <c r="D252" t="s">
        <v>34</v>
      </c>
      <c r="E252">
        <v>3</v>
      </c>
      <c r="F252">
        <v>1</v>
      </c>
      <c r="G252">
        <v>50</v>
      </c>
      <c r="H252">
        <v>2</v>
      </c>
      <c r="I252" t="s">
        <v>35</v>
      </c>
      <c r="J252">
        <f t="shared" si="9"/>
        <v>1</v>
      </c>
      <c r="K252">
        <f t="shared" si="10"/>
        <v>0</v>
      </c>
      <c r="L252">
        <f t="shared" si="11"/>
        <v>0</v>
      </c>
    </row>
    <row r="253" spans="1:12" x14ac:dyDescent="0.4">
      <c r="A253" t="s">
        <v>297</v>
      </c>
      <c r="B253" t="s">
        <v>38</v>
      </c>
      <c r="C253">
        <v>39</v>
      </c>
      <c r="D253" t="s">
        <v>52</v>
      </c>
      <c r="E253">
        <v>3</v>
      </c>
      <c r="F253">
        <v>1</v>
      </c>
      <c r="G253">
        <v>100</v>
      </c>
      <c r="H253">
        <v>3</v>
      </c>
      <c r="I253" t="s">
        <v>41</v>
      </c>
      <c r="J253">
        <f t="shared" si="9"/>
        <v>0</v>
      </c>
      <c r="K253">
        <f t="shared" si="10"/>
        <v>0</v>
      </c>
      <c r="L253">
        <f t="shared" si="11"/>
        <v>1</v>
      </c>
    </row>
    <row r="254" spans="1:12" x14ac:dyDescent="0.4">
      <c r="A254" t="s">
        <v>298</v>
      </c>
      <c r="B254" t="s">
        <v>38</v>
      </c>
      <c r="C254">
        <v>58</v>
      </c>
      <c r="D254" t="s">
        <v>52</v>
      </c>
      <c r="E254">
        <v>3</v>
      </c>
      <c r="F254">
        <v>0.75</v>
      </c>
      <c r="G254">
        <v>50</v>
      </c>
      <c r="H254">
        <v>2</v>
      </c>
      <c r="I254" t="s">
        <v>39</v>
      </c>
      <c r="J254">
        <f t="shared" si="9"/>
        <v>0</v>
      </c>
      <c r="K254">
        <f t="shared" si="10"/>
        <v>1</v>
      </c>
      <c r="L254">
        <f t="shared" si="11"/>
        <v>0</v>
      </c>
    </row>
    <row r="255" spans="1:12" x14ac:dyDescent="0.4">
      <c r="A255" t="s">
        <v>299</v>
      </c>
      <c r="B255" t="s">
        <v>38</v>
      </c>
      <c r="C255">
        <v>42</v>
      </c>
      <c r="D255" t="s">
        <v>52</v>
      </c>
      <c r="E255">
        <v>6</v>
      </c>
      <c r="F255">
        <v>0.5</v>
      </c>
      <c r="G255">
        <v>20</v>
      </c>
      <c r="H255">
        <v>2</v>
      </c>
      <c r="I255" t="s">
        <v>41</v>
      </c>
      <c r="J255">
        <f t="shared" si="9"/>
        <v>0</v>
      </c>
      <c r="K255">
        <f t="shared" si="10"/>
        <v>0</v>
      </c>
      <c r="L255">
        <f t="shared" si="11"/>
        <v>1</v>
      </c>
    </row>
    <row r="256" spans="1:12" x14ac:dyDescent="0.4">
      <c r="A256" t="s">
        <v>300</v>
      </c>
      <c r="B256" t="s">
        <v>33</v>
      </c>
      <c r="C256">
        <v>58</v>
      </c>
      <c r="D256" t="s">
        <v>52</v>
      </c>
      <c r="E256">
        <v>4</v>
      </c>
      <c r="F256">
        <v>0.25</v>
      </c>
      <c r="G256">
        <v>22</v>
      </c>
      <c r="H256">
        <v>4</v>
      </c>
      <c r="I256" t="s">
        <v>39</v>
      </c>
      <c r="J256">
        <f t="shared" si="9"/>
        <v>0</v>
      </c>
      <c r="K256">
        <f t="shared" si="10"/>
        <v>1</v>
      </c>
      <c r="L256">
        <f t="shared" si="11"/>
        <v>0</v>
      </c>
    </row>
    <row r="257" spans="1:12" x14ac:dyDescent="0.4">
      <c r="A257" t="s">
        <v>301</v>
      </c>
      <c r="B257" t="s">
        <v>38</v>
      </c>
      <c r="C257">
        <v>74</v>
      </c>
      <c r="D257" t="s">
        <v>34</v>
      </c>
      <c r="E257">
        <v>7</v>
      </c>
      <c r="F257">
        <v>0.75</v>
      </c>
      <c r="G257">
        <v>25</v>
      </c>
      <c r="H257">
        <v>3</v>
      </c>
      <c r="I257" t="s">
        <v>39</v>
      </c>
      <c r="J257">
        <f t="shared" si="9"/>
        <v>0</v>
      </c>
      <c r="K257">
        <f t="shared" si="10"/>
        <v>1</v>
      </c>
      <c r="L257">
        <f t="shared" si="11"/>
        <v>0</v>
      </c>
    </row>
    <row r="258" spans="1:12" x14ac:dyDescent="0.4">
      <c r="A258" t="s">
        <v>302</v>
      </c>
      <c r="B258" t="s">
        <v>38</v>
      </c>
      <c r="C258">
        <v>40</v>
      </c>
      <c r="D258" t="s">
        <v>34</v>
      </c>
      <c r="E258">
        <v>4</v>
      </c>
      <c r="F258">
        <v>0.3</v>
      </c>
      <c r="G258">
        <v>50</v>
      </c>
      <c r="H258">
        <v>3</v>
      </c>
      <c r="I258" t="s">
        <v>35</v>
      </c>
      <c r="J258">
        <f t="shared" si="9"/>
        <v>1</v>
      </c>
      <c r="K258">
        <f t="shared" si="10"/>
        <v>0</v>
      </c>
      <c r="L258">
        <f t="shared" si="11"/>
        <v>0</v>
      </c>
    </row>
    <row r="259" spans="1:12" x14ac:dyDescent="0.4">
      <c r="A259" t="s">
        <v>303</v>
      </c>
      <c r="B259" t="s">
        <v>33</v>
      </c>
      <c r="C259">
        <v>51</v>
      </c>
      <c r="D259" t="s">
        <v>34</v>
      </c>
      <c r="E259">
        <v>5</v>
      </c>
      <c r="F259">
        <v>0.5</v>
      </c>
      <c r="G259">
        <v>150</v>
      </c>
      <c r="H259">
        <v>2</v>
      </c>
      <c r="I259" t="s">
        <v>41</v>
      </c>
      <c r="J259">
        <f t="shared" ref="J259:J301" si="12">IF(I259="Radio", 1, 0)</f>
        <v>0</v>
      </c>
      <c r="K259">
        <f t="shared" ref="K259:K301" si="13">IF(I259="Public gatherings", 1, 0)</f>
        <v>0</v>
      </c>
      <c r="L259">
        <f t="shared" ref="L259:L301" si="14">IF(I259="Extension Services", 1, 0)</f>
        <v>1</v>
      </c>
    </row>
    <row r="260" spans="1:12" x14ac:dyDescent="0.4">
      <c r="A260" t="s">
        <v>304</v>
      </c>
      <c r="B260" t="s">
        <v>33</v>
      </c>
      <c r="C260">
        <v>43</v>
      </c>
      <c r="D260" t="s">
        <v>52</v>
      </c>
      <c r="E260">
        <v>3</v>
      </c>
      <c r="F260">
        <v>0.5</v>
      </c>
      <c r="G260">
        <v>30</v>
      </c>
      <c r="H260">
        <v>3</v>
      </c>
      <c r="I260" t="s">
        <v>50</v>
      </c>
      <c r="J260">
        <f t="shared" si="12"/>
        <v>0</v>
      </c>
      <c r="K260">
        <f t="shared" si="13"/>
        <v>0</v>
      </c>
      <c r="L260">
        <f t="shared" si="14"/>
        <v>0</v>
      </c>
    </row>
    <row r="261" spans="1:12" x14ac:dyDescent="0.4">
      <c r="A261" t="s">
        <v>305</v>
      </c>
      <c r="B261" t="s">
        <v>38</v>
      </c>
      <c r="C261">
        <v>34</v>
      </c>
      <c r="D261" t="s">
        <v>34</v>
      </c>
      <c r="E261">
        <v>5</v>
      </c>
      <c r="F261">
        <v>2</v>
      </c>
      <c r="G261">
        <v>100</v>
      </c>
      <c r="H261">
        <v>5</v>
      </c>
      <c r="I261" t="s">
        <v>41</v>
      </c>
      <c r="J261">
        <f t="shared" si="12"/>
        <v>0</v>
      </c>
      <c r="K261">
        <f t="shared" si="13"/>
        <v>0</v>
      </c>
      <c r="L261">
        <f t="shared" si="14"/>
        <v>1</v>
      </c>
    </row>
    <row r="262" spans="1:12" x14ac:dyDescent="0.4">
      <c r="A262" t="s">
        <v>306</v>
      </c>
      <c r="B262" t="s">
        <v>38</v>
      </c>
      <c r="C262">
        <v>41</v>
      </c>
      <c r="D262" t="s">
        <v>34</v>
      </c>
      <c r="E262">
        <v>3</v>
      </c>
      <c r="F262">
        <v>1</v>
      </c>
      <c r="G262">
        <v>100</v>
      </c>
      <c r="H262">
        <v>2</v>
      </c>
      <c r="I262" t="s">
        <v>39</v>
      </c>
      <c r="J262">
        <f t="shared" si="12"/>
        <v>0</v>
      </c>
      <c r="K262">
        <f t="shared" si="13"/>
        <v>1</v>
      </c>
      <c r="L262">
        <f t="shared" si="14"/>
        <v>0</v>
      </c>
    </row>
    <row r="263" spans="1:12" x14ac:dyDescent="0.4">
      <c r="A263" t="s">
        <v>307</v>
      </c>
      <c r="B263" t="s">
        <v>38</v>
      </c>
      <c r="C263">
        <v>43</v>
      </c>
      <c r="D263" t="s">
        <v>52</v>
      </c>
      <c r="E263">
        <v>6</v>
      </c>
      <c r="F263">
        <v>0.5</v>
      </c>
      <c r="G263">
        <v>20</v>
      </c>
      <c r="H263">
        <v>2</v>
      </c>
      <c r="I263" t="s">
        <v>35</v>
      </c>
      <c r="J263">
        <f t="shared" si="12"/>
        <v>1</v>
      </c>
      <c r="K263">
        <f t="shared" si="13"/>
        <v>0</v>
      </c>
      <c r="L263">
        <f t="shared" si="14"/>
        <v>0</v>
      </c>
    </row>
    <row r="264" spans="1:12" x14ac:dyDescent="0.4">
      <c r="A264" t="s">
        <v>308</v>
      </c>
      <c r="B264" t="s">
        <v>38</v>
      </c>
      <c r="C264">
        <v>35</v>
      </c>
      <c r="D264" t="s">
        <v>52</v>
      </c>
      <c r="E264">
        <v>6</v>
      </c>
      <c r="F264">
        <v>0.75</v>
      </c>
      <c r="G264">
        <v>200</v>
      </c>
      <c r="H264">
        <v>3</v>
      </c>
      <c r="I264" t="s">
        <v>39</v>
      </c>
      <c r="J264">
        <f t="shared" si="12"/>
        <v>0</v>
      </c>
      <c r="K264">
        <f t="shared" si="13"/>
        <v>1</v>
      </c>
      <c r="L264">
        <f t="shared" si="14"/>
        <v>0</v>
      </c>
    </row>
    <row r="265" spans="1:12" x14ac:dyDescent="0.4">
      <c r="A265" t="s">
        <v>309</v>
      </c>
      <c r="B265" t="s">
        <v>38</v>
      </c>
      <c r="C265">
        <v>19</v>
      </c>
      <c r="D265" t="s">
        <v>34</v>
      </c>
      <c r="E265">
        <v>6</v>
      </c>
      <c r="F265">
        <v>1</v>
      </c>
      <c r="G265">
        <v>30</v>
      </c>
      <c r="H265">
        <v>2</v>
      </c>
      <c r="I265" t="s">
        <v>41</v>
      </c>
      <c r="J265">
        <f t="shared" si="12"/>
        <v>0</v>
      </c>
      <c r="K265">
        <f t="shared" si="13"/>
        <v>0</v>
      </c>
      <c r="L265">
        <f t="shared" si="14"/>
        <v>1</v>
      </c>
    </row>
    <row r="266" spans="1:12" x14ac:dyDescent="0.4">
      <c r="A266" t="s">
        <v>310</v>
      </c>
      <c r="B266" t="s">
        <v>33</v>
      </c>
      <c r="C266">
        <v>54</v>
      </c>
      <c r="D266" t="s">
        <v>34</v>
      </c>
      <c r="E266">
        <v>1</v>
      </c>
      <c r="F266">
        <v>1</v>
      </c>
      <c r="G266">
        <v>100</v>
      </c>
      <c r="H266">
        <v>5</v>
      </c>
      <c r="I266" t="s">
        <v>41</v>
      </c>
      <c r="J266">
        <f t="shared" si="12"/>
        <v>0</v>
      </c>
      <c r="K266">
        <f t="shared" si="13"/>
        <v>0</v>
      </c>
      <c r="L266">
        <f t="shared" si="14"/>
        <v>1</v>
      </c>
    </row>
    <row r="267" spans="1:12" x14ac:dyDescent="0.4">
      <c r="A267" t="s">
        <v>311</v>
      </c>
      <c r="B267" t="s">
        <v>33</v>
      </c>
      <c r="C267">
        <v>62</v>
      </c>
      <c r="D267" t="s">
        <v>34</v>
      </c>
      <c r="E267">
        <v>6</v>
      </c>
      <c r="F267">
        <v>0.5</v>
      </c>
      <c r="G267">
        <v>20</v>
      </c>
      <c r="H267">
        <v>3</v>
      </c>
      <c r="I267" t="s">
        <v>35</v>
      </c>
      <c r="J267">
        <f t="shared" si="12"/>
        <v>1</v>
      </c>
      <c r="K267">
        <f t="shared" si="13"/>
        <v>0</v>
      </c>
      <c r="L267">
        <f t="shared" si="14"/>
        <v>0</v>
      </c>
    </row>
    <row r="268" spans="1:12" x14ac:dyDescent="0.4">
      <c r="A268" t="s">
        <v>312</v>
      </c>
      <c r="B268" t="s">
        <v>38</v>
      </c>
      <c r="C268">
        <v>43</v>
      </c>
      <c r="D268" t="s">
        <v>52</v>
      </c>
      <c r="E268">
        <v>5</v>
      </c>
      <c r="F268">
        <v>1</v>
      </c>
      <c r="G268">
        <v>50</v>
      </c>
      <c r="H268">
        <v>2</v>
      </c>
      <c r="I268" t="s">
        <v>35</v>
      </c>
      <c r="J268">
        <f t="shared" si="12"/>
        <v>1</v>
      </c>
      <c r="K268">
        <f t="shared" si="13"/>
        <v>0</v>
      </c>
      <c r="L268">
        <f t="shared" si="14"/>
        <v>0</v>
      </c>
    </row>
    <row r="269" spans="1:12" x14ac:dyDescent="0.4">
      <c r="A269" t="s">
        <v>313</v>
      </c>
      <c r="B269" t="s">
        <v>38</v>
      </c>
      <c r="C269">
        <v>40</v>
      </c>
      <c r="D269" t="s">
        <v>52</v>
      </c>
      <c r="E269">
        <v>4</v>
      </c>
      <c r="F269">
        <v>0.75</v>
      </c>
      <c r="G269">
        <v>50</v>
      </c>
      <c r="H269">
        <v>2</v>
      </c>
      <c r="I269" t="s">
        <v>41</v>
      </c>
      <c r="J269">
        <f t="shared" si="12"/>
        <v>0</v>
      </c>
      <c r="K269">
        <f t="shared" si="13"/>
        <v>0</v>
      </c>
      <c r="L269">
        <f t="shared" si="14"/>
        <v>1</v>
      </c>
    </row>
    <row r="270" spans="1:12" x14ac:dyDescent="0.4">
      <c r="A270" t="s">
        <v>314</v>
      </c>
      <c r="B270" t="s">
        <v>33</v>
      </c>
      <c r="C270">
        <v>63</v>
      </c>
      <c r="D270" t="s">
        <v>100</v>
      </c>
      <c r="E270">
        <v>1</v>
      </c>
      <c r="F270">
        <v>0.5</v>
      </c>
      <c r="G270">
        <v>20</v>
      </c>
      <c r="H270">
        <v>4</v>
      </c>
      <c r="I270" t="s">
        <v>35</v>
      </c>
      <c r="J270">
        <f t="shared" si="12"/>
        <v>1</v>
      </c>
      <c r="K270">
        <f t="shared" si="13"/>
        <v>0</v>
      </c>
      <c r="L270">
        <f t="shared" si="14"/>
        <v>0</v>
      </c>
    </row>
    <row r="271" spans="1:12" x14ac:dyDescent="0.4">
      <c r="A271" t="s">
        <v>315</v>
      </c>
      <c r="B271" t="s">
        <v>33</v>
      </c>
      <c r="C271">
        <v>31</v>
      </c>
      <c r="D271" t="s">
        <v>34</v>
      </c>
      <c r="E271">
        <v>6</v>
      </c>
      <c r="F271">
        <v>1</v>
      </c>
      <c r="G271">
        <v>20</v>
      </c>
      <c r="H271">
        <v>5</v>
      </c>
      <c r="I271" t="s">
        <v>39</v>
      </c>
      <c r="J271">
        <f t="shared" si="12"/>
        <v>0</v>
      </c>
      <c r="K271">
        <f t="shared" si="13"/>
        <v>1</v>
      </c>
      <c r="L271">
        <f t="shared" si="14"/>
        <v>0</v>
      </c>
    </row>
    <row r="272" spans="1:12" x14ac:dyDescent="0.4">
      <c r="A272" t="s">
        <v>316</v>
      </c>
      <c r="B272" t="s">
        <v>33</v>
      </c>
      <c r="C272">
        <v>39</v>
      </c>
      <c r="D272" t="s">
        <v>34</v>
      </c>
      <c r="E272">
        <v>3</v>
      </c>
      <c r="F272">
        <v>0.75</v>
      </c>
      <c r="G272">
        <v>50</v>
      </c>
      <c r="H272">
        <v>3</v>
      </c>
      <c r="I272" t="s">
        <v>39</v>
      </c>
      <c r="J272">
        <f t="shared" si="12"/>
        <v>0</v>
      </c>
      <c r="K272">
        <f t="shared" si="13"/>
        <v>1</v>
      </c>
      <c r="L272">
        <f t="shared" si="14"/>
        <v>0</v>
      </c>
    </row>
    <row r="273" spans="1:12" x14ac:dyDescent="0.4">
      <c r="A273" t="s">
        <v>317</v>
      </c>
      <c r="B273" t="s">
        <v>38</v>
      </c>
      <c r="C273">
        <v>65</v>
      </c>
      <c r="D273" t="s">
        <v>52</v>
      </c>
      <c r="E273">
        <v>3</v>
      </c>
      <c r="F273">
        <v>1.5</v>
      </c>
      <c r="G273">
        <v>50</v>
      </c>
      <c r="H273">
        <v>2</v>
      </c>
      <c r="I273" t="s">
        <v>35</v>
      </c>
      <c r="J273">
        <f t="shared" si="12"/>
        <v>1</v>
      </c>
      <c r="K273">
        <f t="shared" si="13"/>
        <v>0</v>
      </c>
      <c r="L273">
        <f t="shared" si="14"/>
        <v>0</v>
      </c>
    </row>
    <row r="274" spans="1:12" x14ac:dyDescent="0.4">
      <c r="A274" t="s">
        <v>318</v>
      </c>
      <c r="B274" t="s">
        <v>38</v>
      </c>
      <c r="C274">
        <v>54</v>
      </c>
      <c r="D274" t="s">
        <v>34</v>
      </c>
      <c r="E274">
        <v>4</v>
      </c>
      <c r="F274">
        <v>0.5</v>
      </c>
      <c r="G274">
        <v>150</v>
      </c>
      <c r="H274">
        <v>6</v>
      </c>
      <c r="I274" t="s">
        <v>35</v>
      </c>
      <c r="J274">
        <f t="shared" si="12"/>
        <v>1</v>
      </c>
      <c r="K274">
        <f t="shared" si="13"/>
        <v>0</v>
      </c>
      <c r="L274">
        <f t="shared" si="14"/>
        <v>0</v>
      </c>
    </row>
    <row r="275" spans="1:12" x14ac:dyDescent="0.4">
      <c r="A275" t="s">
        <v>319</v>
      </c>
      <c r="B275" t="s">
        <v>33</v>
      </c>
      <c r="C275">
        <v>42</v>
      </c>
      <c r="D275" t="s">
        <v>52</v>
      </c>
      <c r="E275">
        <v>2</v>
      </c>
      <c r="F275">
        <v>0.5</v>
      </c>
      <c r="G275">
        <v>30</v>
      </c>
      <c r="H275">
        <v>2</v>
      </c>
      <c r="I275" t="s">
        <v>50</v>
      </c>
      <c r="J275">
        <f t="shared" si="12"/>
        <v>0</v>
      </c>
      <c r="K275">
        <f t="shared" si="13"/>
        <v>0</v>
      </c>
      <c r="L275">
        <f t="shared" si="14"/>
        <v>0</v>
      </c>
    </row>
    <row r="276" spans="1:12" x14ac:dyDescent="0.4">
      <c r="A276" t="s">
        <v>320</v>
      </c>
      <c r="B276" t="s">
        <v>33</v>
      </c>
      <c r="C276">
        <v>62</v>
      </c>
      <c r="D276" t="s">
        <v>34</v>
      </c>
      <c r="E276">
        <v>3</v>
      </c>
      <c r="F276">
        <v>0.5</v>
      </c>
      <c r="G276">
        <v>25</v>
      </c>
      <c r="H276">
        <v>4</v>
      </c>
      <c r="I276" t="s">
        <v>35</v>
      </c>
      <c r="J276">
        <f t="shared" si="12"/>
        <v>1</v>
      </c>
      <c r="K276">
        <f t="shared" si="13"/>
        <v>0</v>
      </c>
      <c r="L276">
        <f t="shared" si="14"/>
        <v>0</v>
      </c>
    </row>
    <row r="277" spans="1:12" x14ac:dyDescent="0.4">
      <c r="A277" t="s">
        <v>321</v>
      </c>
      <c r="B277" t="s">
        <v>33</v>
      </c>
      <c r="C277">
        <v>24</v>
      </c>
      <c r="D277" t="s">
        <v>52</v>
      </c>
      <c r="E277">
        <v>1</v>
      </c>
      <c r="F277">
        <v>0.3</v>
      </c>
      <c r="G277">
        <v>20</v>
      </c>
      <c r="H277">
        <v>3</v>
      </c>
      <c r="I277" t="s">
        <v>35</v>
      </c>
      <c r="J277">
        <f t="shared" si="12"/>
        <v>1</v>
      </c>
      <c r="K277">
        <f t="shared" si="13"/>
        <v>0</v>
      </c>
      <c r="L277">
        <f t="shared" si="14"/>
        <v>0</v>
      </c>
    </row>
    <row r="278" spans="1:12" x14ac:dyDescent="0.4">
      <c r="A278" t="s">
        <v>322</v>
      </c>
      <c r="B278" t="s">
        <v>38</v>
      </c>
      <c r="C278">
        <v>54</v>
      </c>
      <c r="D278" t="s">
        <v>34</v>
      </c>
      <c r="E278">
        <v>4</v>
      </c>
      <c r="F278">
        <v>0.5</v>
      </c>
      <c r="G278">
        <v>350</v>
      </c>
      <c r="H278">
        <v>5</v>
      </c>
      <c r="I278" t="s">
        <v>41</v>
      </c>
      <c r="J278">
        <f t="shared" si="12"/>
        <v>0</v>
      </c>
      <c r="K278">
        <f t="shared" si="13"/>
        <v>0</v>
      </c>
      <c r="L278">
        <f t="shared" si="14"/>
        <v>1</v>
      </c>
    </row>
    <row r="279" spans="1:12" x14ac:dyDescent="0.4">
      <c r="A279" t="s">
        <v>323</v>
      </c>
      <c r="B279" t="s">
        <v>38</v>
      </c>
      <c r="C279">
        <v>50</v>
      </c>
      <c r="D279" t="s">
        <v>34</v>
      </c>
      <c r="E279">
        <v>4</v>
      </c>
      <c r="F279">
        <v>0.25</v>
      </c>
      <c r="G279">
        <v>40</v>
      </c>
      <c r="H279">
        <v>3</v>
      </c>
      <c r="I279" t="s">
        <v>35</v>
      </c>
      <c r="J279">
        <f t="shared" si="12"/>
        <v>1</v>
      </c>
      <c r="K279">
        <f t="shared" si="13"/>
        <v>0</v>
      </c>
      <c r="L279">
        <f t="shared" si="14"/>
        <v>0</v>
      </c>
    </row>
    <row r="280" spans="1:12" x14ac:dyDescent="0.4">
      <c r="A280" t="s">
        <v>324</v>
      </c>
      <c r="B280" t="s">
        <v>38</v>
      </c>
      <c r="C280">
        <v>41</v>
      </c>
      <c r="D280" t="s">
        <v>34</v>
      </c>
      <c r="E280">
        <v>5</v>
      </c>
      <c r="F280">
        <v>1</v>
      </c>
      <c r="G280">
        <v>20</v>
      </c>
      <c r="H280">
        <v>3</v>
      </c>
      <c r="I280" t="s">
        <v>39</v>
      </c>
      <c r="J280">
        <f t="shared" si="12"/>
        <v>0</v>
      </c>
      <c r="K280">
        <f t="shared" si="13"/>
        <v>1</v>
      </c>
      <c r="L280">
        <f t="shared" si="14"/>
        <v>0</v>
      </c>
    </row>
    <row r="281" spans="1:12" x14ac:dyDescent="0.4">
      <c r="A281" t="s">
        <v>325</v>
      </c>
      <c r="B281" t="s">
        <v>38</v>
      </c>
      <c r="C281">
        <v>42</v>
      </c>
      <c r="D281" t="s">
        <v>52</v>
      </c>
      <c r="E281">
        <v>6</v>
      </c>
      <c r="F281">
        <v>1</v>
      </c>
      <c r="G281">
        <v>25</v>
      </c>
      <c r="H281">
        <v>4</v>
      </c>
      <c r="I281" t="s">
        <v>41</v>
      </c>
      <c r="J281">
        <f t="shared" si="12"/>
        <v>0</v>
      </c>
      <c r="K281">
        <f t="shared" si="13"/>
        <v>0</v>
      </c>
      <c r="L281">
        <f t="shared" si="14"/>
        <v>1</v>
      </c>
    </row>
    <row r="282" spans="1:12" x14ac:dyDescent="0.4">
      <c r="A282" t="s">
        <v>326</v>
      </c>
      <c r="B282" t="s">
        <v>38</v>
      </c>
      <c r="C282">
        <v>29</v>
      </c>
      <c r="D282" t="s">
        <v>34</v>
      </c>
      <c r="E282">
        <v>5</v>
      </c>
      <c r="F282">
        <v>0.5</v>
      </c>
      <c r="G282">
        <v>70</v>
      </c>
      <c r="H282">
        <v>2</v>
      </c>
      <c r="I282" t="s">
        <v>35</v>
      </c>
      <c r="J282">
        <f t="shared" si="12"/>
        <v>1</v>
      </c>
      <c r="K282">
        <f t="shared" si="13"/>
        <v>0</v>
      </c>
      <c r="L282">
        <f t="shared" si="14"/>
        <v>0</v>
      </c>
    </row>
    <row r="283" spans="1:12" x14ac:dyDescent="0.4">
      <c r="A283" t="s">
        <v>327</v>
      </c>
      <c r="B283" t="s">
        <v>38</v>
      </c>
      <c r="C283">
        <v>54</v>
      </c>
      <c r="D283" t="s">
        <v>52</v>
      </c>
      <c r="E283">
        <v>5</v>
      </c>
      <c r="F283">
        <v>0.5</v>
      </c>
      <c r="G283">
        <v>150</v>
      </c>
      <c r="H283">
        <v>3</v>
      </c>
      <c r="I283" t="s">
        <v>39</v>
      </c>
      <c r="J283">
        <f t="shared" si="12"/>
        <v>0</v>
      </c>
      <c r="K283">
        <f t="shared" si="13"/>
        <v>1</v>
      </c>
      <c r="L283">
        <f t="shared" si="14"/>
        <v>0</v>
      </c>
    </row>
    <row r="284" spans="1:12" x14ac:dyDescent="0.4">
      <c r="A284" t="s">
        <v>328</v>
      </c>
      <c r="B284" t="s">
        <v>38</v>
      </c>
      <c r="C284">
        <v>59</v>
      </c>
      <c r="D284" t="s">
        <v>34</v>
      </c>
      <c r="E284">
        <v>5</v>
      </c>
      <c r="F284">
        <v>0.25</v>
      </c>
      <c r="G284">
        <v>75</v>
      </c>
      <c r="H284">
        <v>3</v>
      </c>
      <c r="I284" t="s">
        <v>39</v>
      </c>
      <c r="J284">
        <f t="shared" si="12"/>
        <v>0</v>
      </c>
      <c r="K284">
        <f t="shared" si="13"/>
        <v>1</v>
      </c>
      <c r="L284">
        <f t="shared" si="14"/>
        <v>0</v>
      </c>
    </row>
    <row r="285" spans="1:12" x14ac:dyDescent="0.4">
      <c r="A285" t="s">
        <v>329</v>
      </c>
      <c r="B285" t="s">
        <v>38</v>
      </c>
      <c r="C285">
        <v>42</v>
      </c>
      <c r="D285" t="s">
        <v>34</v>
      </c>
      <c r="E285">
        <v>5</v>
      </c>
      <c r="F285">
        <v>1</v>
      </c>
      <c r="G285">
        <v>20</v>
      </c>
      <c r="H285">
        <v>2</v>
      </c>
      <c r="I285" t="s">
        <v>35</v>
      </c>
      <c r="J285">
        <f t="shared" si="12"/>
        <v>1</v>
      </c>
      <c r="K285">
        <f t="shared" si="13"/>
        <v>0</v>
      </c>
      <c r="L285">
        <f t="shared" si="14"/>
        <v>0</v>
      </c>
    </row>
    <row r="286" spans="1:12" x14ac:dyDescent="0.4">
      <c r="A286" t="s">
        <v>330</v>
      </c>
      <c r="B286" t="s">
        <v>38</v>
      </c>
      <c r="C286">
        <v>43</v>
      </c>
      <c r="D286" t="s">
        <v>52</v>
      </c>
      <c r="E286">
        <v>6</v>
      </c>
      <c r="F286">
        <v>0.5</v>
      </c>
      <c r="G286">
        <v>180</v>
      </c>
      <c r="H286">
        <v>3</v>
      </c>
      <c r="I286" t="s">
        <v>35</v>
      </c>
      <c r="J286">
        <f t="shared" si="12"/>
        <v>1</v>
      </c>
      <c r="K286">
        <f t="shared" si="13"/>
        <v>0</v>
      </c>
      <c r="L286">
        <f t="shared" si="14"/>
        <v>0</v>
      </c>
    </row>
    <row r="287" spans="1:12" x14ac:dyDescent="0.4">
      <c r="A287" t="s">
        <v>331</v>
      </c>
      <c r="B287" t="s">
        <v>38</v>
      </c>
      <c r="C287">
        <v>59</v>
      </c>
      <c r="D287" t="s">
        <v>34</v>
      </c>
      <c r="E287">
        <v>5</v>
      </c>
      <c r="F287">
        <v>0.25</v>
      </c>
      <c r="G287">
        <v>75</v>
      </c>
      <c r="H287">
        <v>2</v>
      </c>
      <c r="I287" t="s">
        <v>39</v>
      </c>
      <c r="J287">
        <f t="shared" si="12"/>
        <v>0</v>
      </c>
      <c r="K287">
        <f t="shared" si="13"/>
        <v>1</v>
      </c>
      <c r="L287">
        <f t="shared" si="14"/>
        <v>0</v>
      </c>
    </row>
    <row r="288" spans="1:12" x14ac:dyDescent="0.4">
      <c r="A288" t="s">
        <v>332</v>
      </c>
      <c r="B288" t="s">
        <v>38</v>
      </c>
      <c r="C288">
        <v>44</v>
      </c>
      <c r="D288" t="s">
        <v>34</v>
      </c>
      <c r="E288">
        <v>3</v>
      </c>
      <c r="F288">
        <v>1</v>
      </c>
      <c r="G288">
        <v>25</v>
      </c>
      <c r="H288">
        <v>2</v>
      </c>
      <c r="I288" t="s">
        <v>35</v>
      </c>
      <c r="J288">
        <f t="shared" si="12"/>
        <v>1</v>
      </c>
      <c r="K288">
        <f t="shared" si="13"/>
        <v>0</v>
      </c>
      <c r="L288">
        <f t="shared" si="14"/>
        <v>0</v>
      </c>
    </row>
    <row r="289" spans="1:12" x14ac:dyDescent="0.4">
      <c r="A289" t="s">
        <v>333</v>
      </c>
      <c r="B289" t="s">
        <v>33</v>
      </c>
      <c r="C289">
        <v>62</v>
      </c>
      <c r="D289" t="s">
        <v>34</v>
      </c>
      <c r="E289">
        <v>6</v>
      </c>
      <c r="F289">
        <v>0.5</v>
      </c>
      <c r="G289">
        <v>20</v>
      </c>
      <c r="H289">
        <v>3</v>
      </c>
      <c r="I289" t="s">
        <v>35</v>
      </c>
      <c r="J289">
        <f t="shared" si="12"/>
        <v>1</v>
      </c>
      <c r="K289">
        <f t="shared" si="13"/>
        <v>0</v>
      </c>
      <c r="L289">
        <f t="shared" si="14"/>
        <v>0</v>
      </c>
    </row>
    <row r="290" spans="1:12" x14ac:dyDescent="0.4">
      <c r="A290" t="s">
        <v>334</v>
      </c>
      <c r="B290" t="s">
        <v>38</v>
      </c>
      <c r="C290">
        <v>60</v>
      </c>
      <c r="D290" t="s">
        <v>34</v>
      </c>
      <c r="E290">
        <v>3</v>
      </c>
      <c r="F290">
        <v>0.5</v>
      </c>
      <c r="G290">
        <v>20</v>
      </c>
      <c r="H290">
        <v>2</v>
      </c>
      <c r="I290" t="s">
        <v>39</v>
      </c>
      <c r="J290">
        <f t="shared" si="12"/>
        <v>0</v>
      </c>
      <c r="K290">
        <f t="shared" si="13"/>
        <v>1</v>
      </c>
      <c r="L290">
        <f t="shared" si="14"/>
        <v>0</v>
      </c>
    </row>
    <row r="291" spans="1:12" x14ac:dyDescent="0.4">
      <c r="A291" t="s">
        <v>335</v>
      </c>
      <c r="B291" t="s">
        <v>38</v>
      </c>
      <c r="C291">
        <v>20</v>
      </c>
      <c r="D291" t="s">
        <v>34</v>
      </c>
      <c r="E291">
        <v>6</v>
      </c>
      <c r="F291">
        <v>1</v>
      </c>
      <c r="G291">
        <v>20</v>
      </c>
      <c r="H291">
        <v>2</v>
      </c>
      <c r="I291" t="s">
        <v>35</v>
      </c>
      <c r="J291">
        <f t="shared" si="12"/>
        <v>1</v>
      </c>
      <c r="K291">
        <f t="shared" si="13"/>
        <v>0</v>
      </c>
      <c r="L291">
        <f t="shared" si="14"/>
        <v>0</v>
      </c>
    </row>
    <row r="292" spans="1:12" x14ac:dyDescent="0.4">
      <c r="A292" t="s">
        <v>336</v>
      </c>
      <c r="B292" t="s">
        <v>33</v>
      </c>
      <c r="C292">
        <v>59</v>
      </c>
      <c r="D292" t="s">
        <v>34</v>
      </c>
      <c r="E292">
        <v>2</v>
      </c>
      <c r="F292">
        <v>1</v>
      </c>
      <c r="G292">
        <v>50</v>
      </c>
      <c r="H292">
        <v>3</v>
      </c>
      <c r="I292" t="s">
        <v>35</v>
      </c>
      <c r="J292">
        <f t="shared" si="12"/>
        <v>1</v>
      </c>
      <c r="K292">
        <f t="shared" si="13"/>
        <v>0</v>
      </c>
      <c r="L292">
        <f t="shared" si="14"/>
        <v>0</v>
      </c>
    </row>
    <row r="293" spans="1:12" x14ac:dyDescent="0.4">
      <c r="A293" t="s">
        <v>337</v>
      </c>
      <c r="B293" t="s">
        <v>33</v>
      </c>
      <c r="C293">
        <v>59</v>
      </c>
      <c r="D293" t="s">
        <v>100</v>
      </c>
      <c r="E293">
        <v>1</v>
      </c>
      <c r="F293">
        <v>0.25</v>
      </c>
      <c r="G293">
        <v>120</v>
      </c>
      <c r="H293">
        <v>3</v>
      </c>
      <c r="I293" t="s">
        <v>35</v>
      </c>
      <c r="J293">
        <f t="shared" si="12"/>
        <v>1</v>
      </c>
      <c r="K293">
        <f t="shared" si="13"/>
        <v>0</v>
      </c>
      <c r="L293">
        <f t="shared" si="14"/>
        <v>0</v>
      </c>
    </row>
    <row r="294" spans="1:12" x14ac:dyDescent="0.4">
      <c r="A294" t="s">
        <v>338</v>
      </c>
      <c r="B294" t="s">
        <v>38</v>
      </c>
      <c r="C294">
        <v>42</v>
      </c>
      <c r="D294" t="s">
        <v>52</v>
      </c>
      <c r="E294">
        <v>6</v>
      </c>
      <c r="F294">
        <v>0.5</v>
      </c>
      <c r="G294">
        <v>70</v>
      </c>
      <c r="H294">
        <v>2</v>
      </c>
      <c r="I294" t="s">
        <v>35</v>
      </c>
      <c r="J294">
        <f t="shared" si="12"/>
        <v>1</v>
      </c>
      <c r="K294">
        <f t="shared" si="13"/>
        <v>0</v>
      </c>
      <c r="L294">
        <f t="shared" si="14"/>
        <v>0</v>
      </c>
    </row>
    <row r="295" spans="1:12" x14ac:dyDescent="0.4">
      <c r="A295" t="s">
        <v>339</v>
      </c>
      <c r="B295" t="s">
        <v>38</v>
      </c>
      <c r="C295">
        <v>32</v>
      </c>
      <c r="D295" t="s">
        <v>77</v>
      </c>
      <c r="E295">
        <v>6</v>
      </c>
      <c r="F295">
        <v>1</v>
      </c>
      <c r="G295">
        <v>25</v>
      </c>
      <c r="H295">
        <v>2</v>
      </c>
      <c r="I295" t="s">
        <v>35</v>
      </c>
      <c r="J295">
        <f t="shared" si="12"/>
        <v>1</v>
      </c>
      <c r="K295">
        <f t="shared" si="13"/>
        <v>0</v>
      </c>
      <c r="L295">
        <f t="shared" si="14"/>
        <v>0</v>
      </c>
    </row>
    <row r="296" spans="1:12" x14ac:dyDescent="0.4">
      <c r="A296" t="s">
        <v>340</v>
      </c>
      <c r="B296" t="s">
        <v>38</v>
      </c>
      <c r="C296">
        <v>26</v>
      </c>
      <c r="D296" t="s">
        <v>34</v>
      </c>
      <c r="E296">
        <v>4</v>
      </c>
      <c r="F296">
        <v>2</v>
      </c>
      <c r="G296">
        <v>50</v>
      </c>
      <c r="H296">
        <v>3</v>
      </c>
      <c r="I296" t="s">
        <v>41</v>
      </c>
      <c r="J296">
        <f t="shared" si="12"/>
        <v>0</v>
      </c>
      <c r="K296">
        <f t="shared" si="13"/>
        <v>0</v>
      </c>
      <c r="L296">
        <f t="shared" si="14"/>
        <v>1</v>
      </c>
    </row>
    <row r="297" spans="1:12" x14ac:dyDescent="0.4">
      <c r="A297" t="s">
        <v>341</v>
      </c>
      <c r="B297" t="s">
        <v>33</v>
      </c>
      <c r="C297">
        <v>42</v>
      </c>
      <c r="D297" t="s">
        <v>52</v>
      </c>
      <c r="E297">
        <v>2</v>
      </c>
      <c r="F297">
        <v>1</v>
      </c>
      <c r="G297">
        <v>100</v>
      </c>
      <c r="H297">
        <v>3</v>
      </c>
      <c r="I297" t="s">
        <v>35</v>
      </c>
      <c r="J297">
        <f t="shared" si="12"/>
        <v>1</v>
      </c>
      <c r="K297">
        <f t="shared" si="13"/>
        <v>0</v>
      </c>
      <c r="L297">
        <f t="shared" si="14"/>
        <v>0</v>
      </c>
    </row>
    <row r="298" spans="1:12" x14ac:dyDescent="0.4">
      <c r="A298" t="s">
        <v>342</v>
      </c>
      <c r="B298" t="s">
        <v>33</v>
      </c>
      <c r="C298">
        <v>25</v>
      </c>
      <c r="D298" t="s">
        <v>77</v>
      </c>
      <c r="E298">
        <v>6</v>
      </c>
      <c r="F298">
        <v>0.75</v>
      </c>
      <c r="G298">
        <v>25</v>
      </c>
      <c r="H298">
        <v>6</v>
      </c>
      <c r="I298" t="s">
        <v>98</v>
      </c>
      <c r="J298">
        <f t="shared" si="12"/>
        <v>0</v>
      </c>
      <c r="K298">
        <f t="shared" si="13"/>
        <v>0</v>
      </c>
      <c r="L298">
        <f t="shared" si="14"/>
        <v>0</v>
      </c>
    </row>
    <row r="299" spans="1:12" x14ac:dyDescent="0.4">
      <c r="A299" t="s">
        <v>343</v>
      </c>
      <c r="B299" t="s">
        <v>33</v>
      </c>
      <c r="C299">
        <v>22</v>
      </c>
      <c r="D299" t="s">
        <v>34</v>
      </c>
      <c r="E299">
        <v>1</v>
      </c>
      <c r="F299">
        <v>3</v>
      </c>
      <c r="G299">
        <v>100</v>
      </c>
      <c r="H299">
        <v>2</v>
      </c>
      <c r="I299" t="s">
        <v>35</v>
      </c>
      <c r="J299">
        <f t="shared" si="12"/>
        <v>1</v>
      </c>
      <c r="K299">
        <f t="shared" si="13"/>
        <v>0</v>
      </c>
      <c r="L299">
        <f t="shared" si="14"/>
        <v>0</v>
      </c>
    </row>
    <row r="300" spans="1:12" x14ac:dyDescent="0.4">
      <c r="A300" t="s">
        <v>344</v>
      </c>
      <c r="B300" t="s">
        <v>38</v>
      </c>
      <c r="C300">
        <v>43</v>
      </c>
      <c r="D300" t="s">
        <v>34</v>
      </c>
      <c r="E300">
        <v>3</v>
      </c>
      <c r="F300">
        <v>0.5</v>
      </c>
      <c r="G300">
        <v>25</v>
      </c>
      <c r="H300">
        <v>4</v>
      </c>
      <c r="I300" t="s">
        <v>35</v>
      </c>
      <c r="J300">
        <f t="shared" si="12"/>
        <v>1</v>
      </c>
      <c r="K300">
        <f t="shared" si="13"/>
        <v>0</v>
      </c>
      <c r="L300">
        <f t="shared" si="14"/>
        <v>0</v>
      </c>
    </row>
    <row r="301" spans="1:12" x14ac:dyDescent="0.4">
      <c r="A301" t="s">
        <v>345</v>
      </c>
      <c r="B301" t="s">
        <v>38</v>
      </c>
      <c r="C301">
        <v>47</v>
      </c>
      <c r="D301" t="s">
        <v>45</v>
      </c>
      <c r="E301">
        <v>6</v>
      </c>
      <c r="F301">
        <v>0.5</v>
      </c>
      <c r="G301">
        <v>40</v>
      </c>
      <c r="H301">
        <v>2</v>
      </c>
      <c r="I301" t="s">
        <v>35</v>
      </c>
      <c r="J301">
        <f t="shared" si="12"/>
        <v>1</v>
      </c>
      <c r="K301">
        <f t="shared" si="13"/>
        <v>0</v>
      </c>
      <c r="L301">
        <f t="shared" si="14"/>
        <v>0</v>
      </c>
    </row>
  </sheetData>
  <conditionalFormatting sqref="A1:A301">
    <cfRule type="duplicateValues" dxfId="0" priority="1"/>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39AF1-C257-0F46-B392-92FA4CED4320}">
  <dimension ref="A1"/>
  <sheetViews>
    <sheetView workbookViewId="0"/>
  </sheetViews>
  <sheetFormatPr defaultRowHeight="16" x14ac:dyDescent="0.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292dde5-5c6c-4683-bb2d-354a83d1d16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4B6CB68342AE3409D6E03A2CEAEA201" ma:contentTypeVersion="10" ma:contentTypeDescription="Create a new document." ma:contentTypeScope="" ma:versionID="82596d0d63e600617ea24561cd618d0f">
  <xsd:schema xmlns:xsd="http://www.w3.org/2001/XMLSchema" xmlns:xs="http://www.w3.org/2001/XMLSchema" xmlns:p="http://schemas.microsoft.com/office/2006/metadata/properties" xmlns:ns3="9292dde5-5c6c-4683-bb2d-354a83d1d16d" targetNamespace="http://schemas.microsoft.com/office/2006/metadata/properties" ma:root="true" ma:fieldsID="3715194a8b4ea2d3ddfe900b80f20799" ns3:_="">
    <xsd:import namespace="9292dde5-5c6c-4683-bb2d-354a83d1d16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92dde5-5c6c-4683-bb2d-354a83d1d16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0CB8DA-EFB5-4069-A5B8-9A8A46B80B2E}">
  <ds:schemaRefs>
    <ds:schemaRef ds:uri="http://schemas.microsoft.com/sharepoint/v3/contenttype/forms"/>
  </ds:schemaRefs>
</ds:datastoreItem>
</file>

<file path=customXml/itemProps2.xml><?xml version="1.0" encoding="utf-8"?>
<ds:datastoreItem xmlns:ds="http://schemas.openxmlformats.org/officeDocument/2006/customXml" ds:itemID="{249DBE61-4DC2-4044-81CB-59F33D955E23}">
  <ds:schemaRefs>
    <ds:schemaRef ds:uri="http://purl.org/dc/term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9292dde5-5c6c-4683-bb2d-354a83d1d16d"/>
    <ds:schemaRef ds:uri="http://www.w3.org/XML/1998/namespace"/>
  </ds:schemaRefs>
</ds:datastoreItem>
</file>

<file path=customXml/itemProps3.xml><?xml version="1.0" encoding="utf-8"?>
<ds:datastoreItem xmlns:ds="http://schemas.openxmlformats.org/officeDocument/2006/customXml" ds:itemID="{F1273036-56BE-4227-9A87-DF1C67E6EE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92dde5-5c6c-4683-bb2d-354a83d1d1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 Dictionary</vt:lpstr>
      <vt:lpstr>VIF (Variance Inflation Factor)</vt:lpstr>
      <vt:lpstr>Raw Data</vt:lpstr>
      <vt:lpstr>Edited Data</vt:lpstr>
      <vt:lpstr>Descriptive Analysis</vt:lpstr>
      <vt:lpstr>Hypothesis Test (ANOVA)</vt:lpstr>
      <vt:lpstr>Correlation</vt:lpstr>
      <vt:lpstr>Dummy Variables</vt:lpstr>
      <vt:lpstr>regression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Bigsby, Kristina</dc:creator>
  <cp:keywords/>
  <dc:description/>
  <cp:lastModifiedBy>Walsh, Patrick J</cp:lastModifiedBy>
  <cp:revision/>
  <dcterms:created xsi:type="dcterms:W3CDTF">2025-06-11T19:42:34Z</dcterms:created>
  <dcterms:modified xsi:type="dcterms:W3CDTF">2026-10-09T18:59:20Z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0x01010074B6CB68342AE3409D6E03A2CEAEA201</vt:lpwstr>
  </property>
</Properties>
</file>